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Width="18530" windowHeight="7130" tabRatio="600" firstSheet="0" activeTab="0" autoFilterDateGrouping="1"/>
  </bookViews>
  <sheets>
    <sheet xmlns:r="http://schemas.openxmlformats.org/officeDocument/2006/relationships" name="工作量汇总表" sheetId="1" state="visible" r:id="rId1"/>
    <sheet xmlns:r="http://schemas.openxmlformats.org/officeDocument/2006/relationships" name="AI 部分" sheetId="2" state="visible" r:id="rId2"/>
    <sheet xmlns:r="http://schemas.openxmlformats.org/officeDocument/2006/relationships" name="cud部分" sheetId="3" state="visible" r:id="rId3"/>
  </sheets>
  <definedNames>
    <definedName name="danwei">#REF!</definedName>
    <definedName name="DDD">#REF!</definedName>
    <definedName name="gongzuoliang">#REF!</definedName>
  </definedNames>
  <calcPr calcId="144525" fullCalcOnLoad="1"/>
</workbook>
</file>

<file path=xl/styles.xml><?xml version="1.0" encoding="utf-8"?>
<styleSheet xmlns="http://schemas.openxmlformats.org/spreadsheetml/2006/main">
  <numFmts count="3">
    <numFmt numFmtId="164" formatCode="0.00_);[Red]\(0.00\)"/>
    <numFmt numFmtId="165" formatCode="#,##0.00_);[Red]\(#,##0.00\)"/>
    <numFmt numFmtId="166" formatCode="0.00_ "/>
  </numFmts>
  <fonts count="36">
    <font>
      <name val="等线"/>
      <charset val="134"/>
      <color theme="1"/>
      <sz val="12"/>
      <scheme val="minor"/>
    </font>
    <font>
      <name val="等线"/>
      <charset val="134"/>
      <color rgb="FF000000"/>
      <sz val="12"/>
    </font>
    <font>
      <name val="微软雅黑"/>
      <charset val="134"/>
      <b val="1"/>
      <color rgb="FF000000"/>
      <sz val="9"/>
    </font>
    <font>
      <name val="微软雅黑"/>
      <charset val="134"/>
      <color rgb="FF000000"/>
      <sz val="9"/>
    </font>
    <font>
      <name val="微软雅黑"/>
      <charset val="134"/>
      <color rgb="FF000000"/>
      <sz val="10"/>
    </font>
    <font>
      <name val="等线"/>
      <charset val="134"/>
      <sz val="10"/>
      <scheme val="minor"/>
    </font>
    <font>
      <name val="Segoe UI"/>
      <charset val="134"/>
      <color rgb="FF404040"/>
      <sz val="11"/>
    </font>
    <font>
      <name val="等线"/>
      <charset val="134"/>
      <color rgb="FF000000"/>
      <sz val="11"/>
    </font>
    <font>
      <name val="微软雅黑"/>
      <charset val="134"/>
      <b val="1"/>
      <i val="1"/>
      <color rgb="FF000000"/>
      <sz val="11"/>
      <u val="single"/>
    </font>
    <font>
      <name val="微软雅黑"/>
      <charset val="134"/>
      <b val="1"/>
      <color rgb="FF000000"/>
      <sz val="14"/>
    </font>
    <font>
      <name val="微软雅黑"/>
      <charset val="134"/>
      <b val="1"/>
      <color rgb="FF000000"/>
      <sz val="10"/>
    </font>
    <font>
      <name val="宋体"/>
      <charset val="134"/>
      <sz val="10"/>
    </font>
    <font>
      <name val="等线"/>
      <charset val="134"/>
      <color theme="1"/>
      <sz val="11"/>
      <scheme val="minor"/>
    </font>
    <font>
      <name val="等线"/>
      <charset val="0"/>
      <color theme="1"/>
      <sz val="11"/>
      <scheme val="minor"/>
    </font>
    <font>
      <name val="等线"/>
      <charset val="0"/>
      <color rgb="FF3F3F76"/>
      <sz val="11"/>
      <scheme val="minor"/>
    </font>
    <font>
      <name val="等线"/>
      <charset val="0"/>
      <color rgb="FF9C0006"/>
      <sz val="11"/>
      <scheme val="minor"/>
    </font>
    <font>
      <name val="等线"/>
      <charset val="0"/>
      <color theme="0"/>
      <sz val="11"/>
      <scheme val="minor"/>
    </font>
    <font>
      <name val="等线"/>
      <charset val="134"/>
      <color theme="10"/>
      <sz val="10"/>
      <u val="single"/>
      <scheme val="minor"/>
    </font>
    <font>
      <name val="等线"/>
      <charset val="0"/>
      <color rgb="FF800080"/>
      <sz val="11"/>
      <u val="single"/>
      <scheme val="minor"/>
    </font>
    <font>
      <name val="等线"/>
      <charset val="134"/>
      <b val="1"/>
      <color theme="3"/>
      <sz val="11"/>
      <scheme val="minor"/>
    </font>
    <font>
      <name val="等线"/>
      <charset val="0"/>
      <color rgb="FFFF0000"/>
      <sz val="11"/>
      <scheme val="minor"/>
    </font>
    <font>
      <name val="等线"/>
      <charset val="134"/>
      <b val="1"/>
      <color theme="3"/>
      <sz val="18"/>
      <scheme val="minor"/>
    </font>
    <font>
      <name val="等线"/>
      <charset val="0"/>
      <i val="1"/>
      <color rgb="FF7F7F7F"/>
      <sz val="11"/>
      <scheme val="minor"/>
    </font>
    <font>
      <name val="等线"/>
      <charset val="134"/>
      <b val="1"/>
      <color theme="3"/>
      <sz val="15"/>
      <scheme val="minor"/>
    </font>
    <font>
      <name val="等线"/>
      <charset val="134"/>
      <b val="1"/>
      <color theme="3"/>
      <sz val="13"/>
      <scheme val="minor"/>
    </font>
    <font>
      <name val="等线"/>
      <charset val="0"/>
      <b val="1"/>
      <color rgb="FF3F3F3F"/>
      <sz val="11"/>
      <scheme val="minor"/>
    </font>
    <font>
      <name val="等线"/>
      <charset val="0"/>
      <b val="1"/>
      <color rgb="FFFA7D00"/>
      <sz val="11"/>
      <scheme val="minor"/>
    </font>
    <font>
      <name val="等线"/>
      <charset val="0"/>
      <b val="1"/>
      <color rgb="FFFFFFFF"/>
      <sz val="11"/>
      <scheme val="minor"/>
    </font>
    <font>
      <name val="等线"/>
      <charset val="0"/>
      <color rgb="FFFA7D00"/>
      <sz val="11"/>
      <scheme val="minor"/>
    </font>
    <font>
      <name val="等线"/>
      <charset val="0"/>
      <b val="1"/>
      <color theme="1"/>
      <sz val="11"/>
      <scheme val="minor"/>
    </font>
    <font>
      <name val="等线"/>
      <charset val="0"/>
      <color rgb="FF006100"/>
      <sz val="11"/>
      <scheme val="minor"/>
    </font>
    <font>
      <name val="等线"/>
      <charset val="0"/>
      <color rgb="FF9C6500"/>
      <sz val="11"/>
      <scheme val="minor"/>
    </font>
    <font>
      <name val="宋体"/>
      <b val="1"/>
      <color rgb="FF000000"/>
      <sz val="14"/>
    </font>
    <font>
      <name val="宋体"/>
      <color rgb="FF000000"/>
      <sz val="11"/>
    </font>
    <font>
      <name val="宋体"/>
      <b val="1"/>
      <color rgb="FF000000"/>
      <sz val="12"/>
    </font>
    <font>
      <name val="宋体"/>
      <color rgb="FF000000"/>
      <sz val="12"/>
    </font>
  </fonts>
  <fills count="38">
    <fill>
      <patternFill/>
    </fill>
    <fill>
      <patternFill patternType="gray125"/>
    </fill>
    <fill>
      <patternFill patternType="solid">
        <fgColor rgb="FFC0C0C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BFBFBF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rgb="FFCCFFFF"/>
      </patternFill>
    </fill>
  </fills>
  <borders count="31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/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auto="1"/>
      </right>
      <top style="thin">
        <color rgb="FF000000"/>
      </top>
      <bottom style="thin">
        <color auto="1"/>
      </bottom>
      <diagonal/>
    </border>
    <border>
      <left style="thin">
        <color auto="1"/>
      </left>
      <right style="thin">
        <color rgb="FF000000"/>
      </right>
      <top style="thin">
        <color rgb="FF000000"/>
      </top>
      <bottom style="thin">
        <color auto="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auto="1"/>
      </right>
      <top style="thin">
        <color rgb="FF000000"/>
      </top>
      <bottom/>
      <diagonal/>
    </border>
    <border>
      <left/>
      <right style="thin">
        <color auto="1"/>
      </right>
      <top style="thin">
        <color rgb="FF000000"/>
      </top>
      <bottom style="thin">
        <color auto="1"/>
      </bottom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/>
      <right style="thin"/>
      <top style="thin"/>
      <bottom style="thin"/>
    </border>
    <border>
      <top style="thin"/>
      <bottom style="thin"/>
    </border>
    <border>
      <right style="thin"/>
      <top style="thin"/>
      <bottom style="thin"/>
    </border>
  </borders>
  <cellStyleXfs count="49">
    <xf numFmtId="0" fontId="0" fillId="0" borderId="0" applyAlignment="1">
      <alignment vertical="center"/>
    </xf>
    <xf numFmtId="42" fontId="12" fillId="0" borderId="0" applyAlignment="1">
      <alignment vertical="center"/>
    </xf>
    <xf numFmtId="0" fontId="13" fillId="6" borderId="0" applyAlignment="1">
      <alignment vertical="center"/>
    </xf>
    <xf numFmtId="0" fontId="14" fillId="7" borderId="13" applyAlignment="1">
      <alignment vertical="center"/>
    </xf>
    <xf numFmtId="44" fontId="12" fillId="0" borderId="0" applyAlignment="1">
      <alignment vertical="center"/>
    </xf>
    <xf numFmtId="41" fontId="12" fillId="0" borderId="0" applyAlignment="1">
      <alignment vertical="center"/>
    </xf>
    <xf numFmtId="0" fontId="13" fillId="8" borderId="0" applyAlignment="1">
      <alignment vertical="center"/>
    </xf>
    <xf numFmtId="0" fontId="15" fillId="9" borderId="0" applyAlignment="1">
      <alignment vertical="center"/>
    </xf>
    <xf numFmtId="43" fontId="12" fillId="0" borderId="0" applyAlignment="1">
      <alignment vertical="center"/>
    </xf>
    <xf numFmtId="0" fontId="16" fillId="10" borderId="0" applyAlignment="1">
      <alignment vertical="center"/>
    </xf>
    <xf numFmtId="0" fontId="17" fillId="0" borderId="0" applyAlignment="1">
      <alignment vertical="center"/>
    </xf>
    <xf numFmtId="9" fontId="12" fillId="0" borderId="0" applyAlignment="1">
      <alignment vertical="center"/>
    </xf>
    <xf numFmtId="0" fontId="18" fillId="0" borderId="0" applyAlignment="1">
      <alignment vertical="center"/>
    </xf>
    <xf numFmtId="0" fontId="12" fillId="11" borderId="14" applyAlignment="1">
      <alignment vertical="center"/>
    </xf>
    <xf numFmtId="0" fontId="16" fillId="12" borderId="0" applyAlignment="1">
      <alignment vertical="center"/>
    </xf>
    <xf numFmtId="0" fontId="19" fillId="0" borderId="0" applyAlignment="1">
      <alignment vertical="center"/>
    </xf>
    <xf numFmtId="0" fontId="20" fillId="0" borderId="0" applyAlignment="1">
      <alignment vertical="center"/>
    </xf>
    <xf numFmtId="0" fontId="21" fillId="0" borderId="0" applyAlignment="1">
      <alignment vertical="center"/>
    </xf>
    <xf numFmtId="0" fontId="22" fillId="0" borderId="0" applyAlignment="1">
      <alignment vertical="center"/>
    </xf>
    <xf numFmtId="0" fontId="23" fillId="0" borderId="15" applyAlignment="1">
      <alignment vertical="center"/>
    </xf>
    <xf numFmtId="0" fontId="24" fillId="0" borderId="15" applyAlignment="1">
      <alignment vertical="center"/>
    </xf>
    <xf numFmtId="0" fontId="16" fillId="13" borderId="0" applyAlignment="1">
      <alignment vertical="center"/>
    </xf>
    <xf numFmtId="0" fontId="19" fillId="0" borderId="16" applyAlignment="1">
      <alignment vertical="center"/>
    </xf>
    <xf numFmtId="0" fontId="16" fillId="14" borderId="0" applyAlignment="1">
      <alignment vertical="center"/>
    </xf>
    <xf numFmtId="0" fontId="25" fillId="15" borderId="17" applyAlignment="1">
      <alignment vertical="center"/>
    </xf>
    <xf numFmtId="0" fontId="26" fillId="15" borderId="13" applyAlignment="1">
      <alignment vertical="center"/>
    </xf>
    <xf numFmtId="0" fontId="27" fillId="16" borderId="18" applyAlignment="1">
      <alignment vertical="center"/>
    </xf>
    <xf numFmtId="0" fontId="13" fillId="17" borderId="0" applyAlignment="1">
      <alignment vertical="center"/>
    </xf>
    <xf numFmtId="0" fontId="16" fillId="18" borderId="0" applyAlignment="1">
      <alignment vertical="center"/>
    </xf>
    <xf numFmtId="0" fontId="28" fillId="0" borderId="19" applyAlignment="1">
      <alignment vertical="center"/>
    </xf>
    <xf numFmtId="0" fontId="29" fillId="0" borderId="20" applyAlignment="1">
      <alignment vertical="center"/>
    </xf>
    <xf numFmtId="0" fontId="30" fillId="19" borderId="0" applyAlignment="1">
      <alignment vertical="center"/>
    </xf>
    <xf numFmtId="0" fontId="31" fillId="20" borderId="0" applyAlignment="1">
      <alignment vertical="center"/>
    </xf>
    <xf numFmtId="0" fontId="13" fillId="21" borderId="0" applyAlignment="1">
      <alignment vertical="center"/>
    </xf>
    <xf numFmtId="0" fontId="16" fillId="22" borderId="0" applyAlignment="1">
      <alignment vertical="center"/>
    </xf>
    <xf numFmtId="0" fontId="13" fillId="23" borderId="0" applyAlignment="1">
      <alignment vertical="center"/>
    </xf>
    <xf numFmtId="0" fontId="13" fillId="24" borderId="0" applyAlignment="1">
      <alignment vertical="center"/>
    </xf>
    <xf numFmtId="0" fontId="13" fillId="25" borderId="0" applyAlignment="1">
      <alignment vertical="center"/>
    </xf>
    <xf numFmtId="0" fontId="13" fillId="26" borderId="0" applyAlignment="1">
      <alignment vertical="center"/>
    </xf>
    <xf numFmtId="0" fontId="16" fillId="27" borderId="0" applyAlignment="1">
      <alignment vertical="center"/>
    </xf>
    <xf numFmtId="0" fontId="16" fillId="28" borderId="0" applyAlignment="1">
      <alignment vertical="center"/>
    </xf>
    <xf numFmtId="0" fontId="13" fillId="29" borderId="0" applyAlignment="1">
      <alignment vertical="center"/>
    </xf>
    <xf numFmtId="0" fontId="13" fillId="30" borderId="0" applyAlignment="1">
      <alignment vertical="center"/>
    </xf>
    <xf numFmtId="0" fontId="16" fillId="31" borderId="0" applyAlignment="1">
      <alignment vertical="center"/>
    </xf>
    <xf numFmtId="0" fontId="13" fillId="32" borderId="0" applyAlignment="1">
      <alignment vertical="center"/>
    </xf>
    <xf numFmtId="0" fontId="16" fillId="33" borderId="0" applyAlignment="1">
      <alignment vertical="center"/>
    </xf>
    <xf numFmtId="0" fontId="16" fillId="34" borderId="0" applyAlignment="1">
      <alignment vertical="center"/>
    </xf>
    <xf numFmtId="0" fontId="13" fillId="35" borderId="0" applyAlignment="1">
      <alignment vertical="center"/>
    </xf>
    <xf numFmtId="0" fontId="16" fillId="36" borderId="0" applyAlignment="1">
      <alignment vertical="center"/>
    </xf>
  </cellStyleXfs>
  <cellXfs count="74">
    <xf numFmtId="0" fontId="0" fillId="0" borderId="0" applyAlignment="1" pivotButton="0" quotePrefix="0" xfId="0">
      <alignment vertical="center"/>
    </xf>
    <xf numFmtId="0" fontId="1" fillId="0" borderId="0" applyAlignment="1" pivotButton="0" quotePrefix="0" xfId="0">
      <alignment vertical="center"/>
    </xf>
    <xf numFmtId="0" fontId="1" fillId="0" borderId="0" applyAlignment="1" pivotButton="0" quotePrefix="0" xfId="0">
      <alignment vertical="center" wrapText="1"/>
    </xf>
    <xf numFmtId="49" fontId="2" fillId="2" borderId="1" applyAlignment="1" pivotButton="0" quotePrefix="0" xfId="0">
      <alignment horizontal="center" vertical="center" wrapText="1"/>
    </xf>
    <xf numFmtId="49" fontId="2" fillId="2" borderId="1" applyAlignment="1" pivotButton="0" quotePrefix="0" xfId="0">
      <alignment horizontal="left" vertical="center" wrapText="1"/>
    </xf>
    <xf numFmtId="0" fontId="2" fillId="2" borderId="1" applyAlignment="1" pivotButton="0" quotePrefix="0" xfId="0">
      <alignment horizontal="center" vertical="center" wrapText="1"/>
    </xf>
    <xf numFmtId="0" fontId="2" fillId="2" borderId="1" applyAlignment="1" pivotButton="0" quotePrefix="0" xfId="0">
      <alignment horizontal="center" vertical="center"/>
    </xf>
    <xf numFmtId="9" fontId="2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/>
    </xf>
    <xf numFmtId="49" fontId="3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4" fillId="0" borderId="2" applyAlignment="1" pivotButton="0" quotePrefix="0" xfId="0">
      <alignment horizontal="center" vertical="center" wrapText="1"/>
    </xf>
    <xf numFmtId="164" fontId="3" fillId="4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0" fontId="4" fillId="0" borderId="3" applyAlignment="1" pivotButton="0" quotePrefix="0" xfId="0">
      <alignment horizontal="center" vertical="center" wrapText="1"/>
    </xf>
    <xf numFmtId="0" fontId="5" fillId="0" borderId="3" applyAlignment="1" pivotButton="0" quotePrefix="0" xfId="0">
      <alignment vertical="center"/>
    </xf>
    <xf numFmtId="0" fontId="5" fillId="0" borderId="4" applyAlignment="1" pivotButton="0" quotePrefix="0" xfId="0">
      <alignment vertical="center"/>
    </xf>
    <xf numFmtId="0" fontId="2" fillId="0" borderId="1" applyAlignment="1" pivotButton="0" quotePrefix="0" xfId="0">
      <alignment horizontal="right" vertical="center" wrapText="1"/>
    </xf>
    <xf numFmtId="0" fontId="2" fillId="3" borderId="1" applyAlignment="1" pivotButton="0" quotePrefix="0" xfId="0">
      <alignment horizontal="right" vertical="center" wrapText="1"/>
    </xf>
    <xf numFmtId="0" fontId="2" fillId="0" borderId="5" applyAlignment="1" pivotButton="0" quotePrefix="0" xfId="0">
      <alignment horizontal="center" vertical="center"/>
    </xf>
    <xf numFmtId="0" fontId="2" fillId="0" borderId="6" applyAlignment="1" pivotButton="0" quotePrefix="0" xfId="0">
      <alignment horizontal="center" vertical="center"/>
    </xf>
    <xf numFmtId="0" fontId="6" fillId="3" borderId="1" applyAlignment="1" pivotButton="0" quotePrefix="0" xfId="0">
      <alignment vertical="center" wrapText="1"/>
    </xf>
    <xf numFmtId="0" fontId="6" fillId="0" borderId="1" applyAlignment="1" pivotButton="0" quotePrefix="0" xfId="0">
      <alignment vertical="center"/>
    </xf>
    <xf numFmtId="0" fontId="7" fillId="0" borderId="1" applyAlignment="1" pivotButton="0" quotePrefix="0" xfId="0">
      <alignment vertical="center"/>
    </xf>
    <xf numFmtId="164" fontId="8" fillId="4" borderId="1" applyAlignment="1" pivotButton="0" quotePrefix="0" xfId="0">
      <alignment horizontal="center" vertical="center" wrapText="1"/>
    </xf>
    <xf numFmtId="0" fontId="4" fillId="0" borderId="4" applyAlignment="1" pivotButton="0" quotePrefix="0" xfId="0">
      <alignment horizontal="center" vertical="center" wrapText="1"/>
    </xf>
    <xf numFmtId="0" fontId="4" fillId="0" borderId="7" applyAlignment="1" pivotButton="0" quotePrefix="0" xfId="0">
      <alignment horizontal="center" vertical="center" wrapText="1"/>
    </xf>
    <xf numFmtId="0" fontId="4" fillId="0" borderId="7" applyAlignment="1" pivotButton="0" quotePrefix="0" xfId="0">
      <alignment horizontal="center" vertical="center"/>
    </xf>
    <xf numFmtId="0" fontId="4" fillId="0" borderId="5" applyAlignment="1" pivotButton="0" quotePrefix="0" xfId="0">
      <alignment horizontal="center" vertical="center"/>
    </xf>
    <xf numFmtId="0" fontId="4" fillId="0" borderId="8" applyAlignment="1" pivotButton="0" quotePrefix="0" xfId="0">
      <alignment horizontal="center" vertical="center"/>
    </xf>
    <xf numFmtId="0" fontId="4" fillId="0" borderId="6" applyAlignment="1" pivotButton="0" quotePrefix="0" xfId="0">
      <alignment horizontal="center" vertical="center"/>
    </xf>
    <xf numFmtId="0" fontId="4" fillId="3" borderId="1" applyAlignment="1" pivotButton="0" quotePrefix="0" xfId="0">
      <alignment horizontal="center" vertical="center" wrapText="1"/>
    </xf>
    <xf numFmtId="0" fontId="4" fillId="3" borderId="7" applyAlignment="1" pivotButton="0" quotePrefix="0" xfId="0">
      <alignment horizontal="center" vertical="center" wrapText="1"/>
    </xf>
    <xf numFmtId="49" fontId="4" fillId="3" borderId="1" applyAlignment="1" applyProtection="1" pivotButton="0" quotePrefix="0" xfId="0">
      <alignment horizontal="center" vertical="center" wrapText="1"/>
      <protection locked="0" hidden="0"/>
    </xf>
    <xf numFmtId="0" fontId="4" fillId="3" borderId="2" applyAlignment="1" pivotButton="0" quotePrefix="0" xfId="0">
      <alignment horizontal="center" vertical="center" wrapText="1"/>
    </xf>
    <xf numFmtId="0" fontId="9" fillId="0" borderId="1" applyAlignment="1" pivotButton="0" quotePrefix="0" xfId="0">
      <alignment horizontal="center" vertical="center"/>
    </xf>
    <xf numFmtId="0" fontId="10" fillId="5" borderId="1" applyAlignment="1" pivotButton="0" quotePrefix="0" xfId="0">
      <alignment horizontal="center" vertical="center" wrapText="1"/>
    </xf>
    <xf numFmtId="165" fontId="10" fillId="5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11" fillId="0" borderId="9" applyAlignment="1" pivotButton="0" quotePrefix="0" xfId="0">
      <alignment vertical="center"/>
    </xf>
    <xf numFmtId="164" fontId="4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/>
    </xf>
    <xf numFmtId="165" fontId="4" fillId="0" borderId="1" applyAlignment="1" pivotButton="0" quotePrefix="0" xfId="0">
      <alignment horizontal="center" vertical="center"/>
    </xf>
    <xf numFmtId="0" fontId="10" fillId="0" borderId="10" applyAlignment="1" pivotButton="0" quotePrefix="0" xfId="0">
      <alignment horizontal="right" vertical="center"/>
    </xf>
    <xf numFmtId="0" fontId="10" fillId="0" borderId="11" applyAlignment="1" pivotButton="0" quotePrefix="0" xfId="0">
      <alignment horizontal="center" vertical="center"/>
    </xf>
    <xf numFmtId="0" fontId="10" fillId="0" borderId="12" applyAlignment="1" pivotButton="0" quotePrefix="0" xfId="0">
      <alignment horizontal="center" vertical="center"/>
    </xf>
    <xf numFmtId="166" fontId="10" fillId="0" borderId="1" applyAlignment="1" pivotButton="0" quotePrefix="0" xfId="0">
      <alignment horizontal="center" vertical="center"/>
    </xf>
    <xf numFmtId="0" fontId="0" fillId="0" borderId="0" pivotButton="0" quotePrefix="0" xfId="0"/>
    <xf numFmtId="0" fontId="0" fillId="0" borderId="22" pivotButton="0" quotePrefix="0" xfId="0"/>
    <xf numFmtId="0" fontId="0" fillId="0" borderId="7" pivotButton="0" quotePrefix="0" xfId="0"/>
    <xf numFmtId="165" fontId="10" fillId="5" borderId="1" applyAlignment="1" pivotButton="0" quotePrefix="0" xfId="0">
      <alignment horizontal="center" vertical="center" wrapText="1"/>
    </xf>
    <xf numFmtId="164" fontId="4" fillId="0" borderId="1" applyAlignment="1" pivotButton="0" quotePrefix="0" xfId="0">
      <alignment horizontal="center" vertical="center" wrapText="1"/>
    </xf>
    <xf numFmtId="165" fontId="4" fillId="0" borderId="1" applyAlignment="1" pivotButton="0" quotePrefix="0" xfId="0">
      <alignment horizontal="center" vertical="center"/>
    </xf>
    <xf numFmtId="166" fontId="10" fillId="0" borderId="1" applyAlignment="1" pivotButton="0" quotePrefix="0" xfId="0">
      <alignment horizontal="center" vertical="center"/>
    </xf>
    <xf numFmtId="0" fontId="0" fillId="0" borderId="21" pivotButton="0" quotePrefix="0" xfId="0"/>
    <xf numFmtId="0" fontId="0" fillId="0" borderId="2" pivotButton="0" quotePrefix="0" xfId="0"/>
    <xf numFmtId="0" fontId="2" fillId="0" borderId="1" applyAlignment="1" pivotButton="0" quotePrefix="0" xfId="0">
      <alignment horizontal="center" vertical="center"/>
    </xf>
    <xf numFmtId="0" fontId="0" fillId="0" borderId="6" pivotButton="0" quotePrefix="0" xfId="0"/>
    <xf numFmtId="0" fontId="0" fillId="0" borderId="26" pivotButton="0" quotePrefix="0" xfId="0"/>
    <xf numFmtId="0" fontId="0" fillId="0" borderId="27" pivotButton="0" quotePrefix="0" xfId="0"/>
    <xf numFmtId="0" fontId="0" fillId="0" borderId="4" pivotButton="0" quotePrefix="0" xfId="0"/>
    <xf numFmtId="164" fontId="3" fillId="4" borderId="1" applyAlignment="1" pivotButton="0" quotePrefix="0" xfId="0">
      <alignment horizontal="center" vertical="center" wrapText="1"/>
    </xf>
    <xf numFmtId="0" fontId="0" fillId="0" borderId="8" pivotButton="0" quotePrefix="0" xfId="0"/>
    <xf numFmtId="0" fontId="0" fillId="0" borderId="8" applyProtection="1" pivotButton="0" quotePrefix="0" xfId="0">
      <protection locked="0" hidden="0"/>
    </xf>
    <xf numFmtId="0" fontId="0" fillId="0" borderId="6" applyProtection="1" pivotButton="0" quotePrefix="0" xfId="0">
      <protection locked="0" hidden="0"/>
    </xf>
    <xf numFmtId="164" fontId="8" fillId="4" borderId="1" applyAlignment="1" pivotButton="0" quotePrefix="0" xfId="0">
      <alignment horizontal="center" vertical="center" wrapText="1"/>
    </xf>
    <xf numFmtId="0" fontId="0" fillId="0" borderId="3" pivotButton="0" quotePrefix="0" xfId="0"/>
    <xf numFmtId="0" fontId="32" fillId="37" borderId="28" applyAlignment="1" pivotButton="0" quotePrefix="0" xfId="0">
      <alignment horizontal="center" vertical="center" wrapText="1"/>
    </xf>
    <xf numFmtId="0" fontId="0" fillId="0" borderId="29" pivotButton="0" quotePrefix="0" xfId="0"/>
    <xf numFmtId="0" fontId="0" fillId="0" borderId="30" pivotButton="0" quotePrefix="0" xfId="0"/>
    <xf numFmtId="0" fontId="33" fillId="37" borderId="28" applyAlignment="1" pivotButton="0" quotePrefix="0" xfId="0">
      <alignment horizontal="center"/>
    </xf>
    <xf numFmtId="0" fontId="33" fillId="0" borderId="28" applyAlignment="1" pivotButton="0" quotePrefix="0" xfId="0">
      <alignment horizontal="center"/>
    </xf>
    <xf numFmtId="166" fontId="34" fillId="0" borderId="28" applyAlignment="1" pivotButton="0" quotePrefix="0" xfId="0">
      <alignment horizontal="center"/>
    </xf>
    <xf numFmtId="0" fontId="35" fillId="0" borderId="28" pivotButton="0" quotePrefix="0" xfId="0"/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19" customWidth="1" style="47" min="1" max="1"/>
    <col width="12.8333333333333" customWidth="1" style="47" min="2" max="2"/>
    <col width="26.1666666666667" customWidth="1" style="47" min="3" max="3"/>
  </cols>
  <sheetData>
    <row r="1" ht="47.25" customHeight="1" s="47">
      <c r="A1" s="67" t="inlineStr">
        <is>
          <t>模板项目</t>
        </is>
      </c>
      <c r="B1" s="68" t="n"/>
      <c r="C1" s="69" t="n"/>
    </row>
    <row r="2" ht="21.75" customHeight="1" s="47">
      <c r="A2" s="70" t="inlineStr">
        <is>
          <t>费用项</t>
        </is>
      </c>
      <c r="B2" s="70" t="inlineStr">
        <is>
          <t>数量（人月）</t>
        </is>
      </c>
      <c r="C2" s="70" t="inlineStr">
        <is>
          <t>备注</t>
        </is>
      </c>
    </row>
    <row r="3" ht="21.75" customHeight="1" s="47">
      <c r="A3" s="71" t="n"/>
      <c r="B3" s="72" t="n"/>
      <c r="C3" s="73" t="n"/>
    </row>
  </sheetData>
  <mergeCells count="1">
    <mergeCell ref="A1:C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0" summaryRight="0"/>
    <pageSetUpPr/>
  </sheetPr>
  <dimension ref="A1:L39"/>
  <sheetViews>
    <sheetView workbookViewId="0">
      <selection activeCell="A1" sqref="A1:A2"/>
    </sheetView>
  </sheetViews>
  <sheetFormatPr baseColWidth="8" defaultColWidth="8.66923076923077" defaultRowHeight="15.6" customHeight="1"/>
  <cols>
    <col width="3.33076923076923" customWidth="1" style="1" min="1" max="1"/>
    <col width="8" customWidth="1" style="1" min="2" max="2"/>
    <col width="20.5" customWidth="1" style="1" min="3" max="3"/>
    <col width="22.3307692307692" customWidth="1" style="1" min="4" max="4"/>
    <col width="39.1615384615385" customWidth="1" style="2" min="5" max="5"/>
    <col width="6.16153846153846" customWidth="1" style="1" min="6" max="7"/>
    <col width="6.83076923076923" customWidth="1" style="1" min="8" max="8"/>
    <col width="6.16153846153846" customWidth="1" style="1" min="9" max="9"/>
    <col width="6.83076923076923" customWidth="1" style="1" min="10" max="10"/>
    <col width="12.3307692307692" customWidth="1" style="1" min="11" max="11"/>
    <col width="7.33076923076923" customWidth="1" style="1" min="12" max="12"/>
  </cols>
  <sheetData>
    <row r="1" s="47">
      <c r="A1" s="3" t="inlineStr">
        <is>
          <t>序号</t>
        </is>
      </c>
      <c r="B1" s="3" t="inlineStr">
        <is>
          <t>估算项</t>
        </is>
      </c>
      <c r="C1" s="54" t="n"/>
      <c r="D1" s="54" t="n"/>
      <c r="E1" s="55" t="n"/>
      <c r="F1" s="5" t="inlineStr">
        <is>
          <t>需求人天</t>
        </is>
      </c>
      <c r="G1" s="5" t="inlineStr">
        <is>
          <t>设计人天</t>
        </is>
      </c>
      <c r="H1" s="6" t="inlineStr">
        <is>
          <t>编码人天</t>
        </is>
      </c>
      <c r="I1" s="5" t="inlineStr">
        <is>
          <t>测试人天</t>
        </is>
      </c>
      <c r="J1" s="6" t="inlineStr">
        <is>
          <t>管理人天</t>
        </is>
      </c>
      <c r="K1" s="6" t="inlineStr">
        <is>
          <t>合计</t>
        </is>
      </c>
      <c r="L1" s="56" t="inlineStr">
        <is>
          <t>备注</t>
        </is>
      </c>
    </row>
    <row r="2" s="47">
      <c r="A2" s="57" t="n"/>
      <c r="B2" s="58" t="n"/>
      <c r="C2" s="59" t="n"/>
      <c r="D2" s="59" t="n"/>
      <c r="E2" s="60" t="n"/>
      <c r="F2" s="7" t="n">
        <v>0.2</v>
      </c>
      <c r="G2" s="7" t="n">
        <v>0.15</v>
      </c>
      <c r="H2" s="7" t="n">
        <v>0.4</v>
      </c>
      <c r="I2" s="7" t="n">
        <v>0.15</v>
      </c>
      <c r="J2" s="7" t="n">
        <v>0.1</v>
      </c>
      <c r="K2" s="7" t="n">
        <v>1</v>
      </c>
      <c r="L2" s="57" t="n"/>
    </row>
    <row r="3" ht="32" customHeight="1" s="47">
      <c r="A3" s="8" t="n">
        <v>3</v>
      </c>
      <c r="B3" s="9" t="inlineStr">
        <is>
          <t>阳江AI审查项目</t>
        </is>
      </c>
      <c r="C3" s="38" t="inlineStr">
        <is>
          <t>AI审查引擎核心</t>
        </is>
      </c>
      <c r="D3" s="26" t="inlineStr">
        <is>
          <t>审批意见自动生成</t>
        </is>
      </c>
      <c r="E3" s="38" t="inlineStr">
        <is>
          <t>开发AI审批意见生成算法，参考FIS流程设计，实现自动生成审批意见与建议</t>
        </is>
      </c>
      <c r="F3" s="61">
        <f>$F$2*H3/$H$2</f>
        <v/>
      </c>
      <c r="G3" s="61">
        <f>$G$2*H3/$H$2</f>
        <v/>
      </c>
      <c r="H3" s="13" t="n">
        <v>12</v>
      </c>
      <c r="I3" s="61">
        <f>$I$2*H3/$H$2</f>
        <v/>
      </c>
      <c r="J3" s="61">
        <f>$J$2*H3/$H$2</f>
        <v/>
      </c>
      <c r="K3" s="61">
        <f>SUM(F3:J3)</f>
        <v/>
      </c>
      <c r="L3" s="21" t="n"/>
    </row>
    <row r="4" ht="30" customHeight="1" s="47">
      <c r="A4" s="8" t="n">
        <v>4</v>
      </c>
      <c r="B4" s="62" t="n"/>
      <c r="C4" s="62" t="n"/>
      <c r="D4" s="60" t="n"/>
      <c r="E4" s="38" t="inlineStr">
        <is>
          <t>审批意见结果组装、格式化输出，支持通过/驳回/需人工复核三种状态</t>
        </is>
      </c>
      <c r="F4" s="61">
        <f>$F$2*H4/$H$2</f>
        <v/>
      </c>
      <c r="G4" s="61">
        <f>$G$2*H4/$H$2</f>
        <v/>
      </c>
      <c r="H4" s="13" t="n">
        <v>10</v>
      </c>
      <c r="I4" s="61">
        <f>$I$2*H4/$H$2</f>
        <v/>
      </c>
      <c r="J4" s="61">
        <f>$J$2*H4/$H$2</f>
        <v/>
      </c>
      <c r="K4" s="61">
        <f>SUM(F4:J4)</f>
        <v/>
      </c>
      <c r="L4" s="21" t="n"/>
    </row>
    <row r="5" ht="35" customHeight="1" s="47">
      <c r="A5" s="8" t="n">
        <v>5</v>
      </c>
      <c r="B5" s="62" t="n"/>
      <c r="C5" s="62" t="n"/>
      <c r="D5" s="26" t="inlineStr">
        <is>
          <t>审查规则引擎开发</t>
        </is>
      </c>
      <c r="E5" s="38" t="inlineStr">
        <is>
          <t>开发审查规则表达式解析引擎，支持规则条件编排与动态调整</t>
        </is>
      </c>
      <c r="F5" s="61">
        <f>$F$2*H5/$H$2</f>
        <v/>
      </c>
      <c r="G5" s="61">
        <f>$G$2*H5/$H$2</f>
        <v/>
      </c>
      <c r="H5" s="13" t="n">
        <v>12</v>
      </c>
      <c r="I5" s="61">
        <f>$I$2*H5/$H$2</f>
        <v/>
      </c>
      <c r="J5" s="61">
        <f>$J$2*H5/$H$2</f>
        <v/>
      </c>
      <c r="K5" s="61">
        <f>SUM(F5:J5)</f>
        <v/>
      </c>
      <c r="L5" s="21" t="n"/>
    </row>
    <row r="6" ht="31" customHeight="1" s="47">
      <c r="A6" s="8" t="n">
        <v>6</v>
      </c>
      <c r="B6" s="62" t="n"/>
      <c r="C6" s="62" t="n"/>
      <c r="D6" s="60" t="n"/>
      <c r="E6" s="38" t="inlineStr">
        <is>
          <t>开发审查规则执行引擎，实现规则加载、匹配、执行与结果聚合</t>
        </is>
      </c>
      <c r="F6" s="61">
        <f>$F$2*H6/$H$2</f>
        <v/>
      </c>
      <c r="G6" s="61">
        <f>$G$2*H6/$H$2</f>
        <v/>
      </c>
      <c r="H6" s="13" t="n">
        <v>12</v>
      </c>
      <c r="I6" s="61">
        <f>$I$2*H6/$H$2</f>
        <v/>
      </c>
      <c r="J6" s="61">
        <f>$J$2*H6/$H$2</f>
        <v/>
      </c>
      <c r="K6" s="61">
        <f>SUM(F6:J6)</f>
        <v/>
      </c>
      <c r="L6" s="22" t="n"/>
    </row>
    <row r="7" ht="31" customHeight="1" s="47">
      <c r="A7" s="8" t="n">
        <v>7</v>
      </c>
      <c r="B7" s="62" t="n"/>
      <c r="C7" s="62" t="n"/>
      <c r="D7" s="14" t="inlineStr">
        <is>
          <t>AI审查结果API接口</t>
        </is>
      </c>
      <c r="E7" s="38" t="inlineStr">
        <is>
          <t>提供审查结果API接口给Web端调用，包括审查状态查询、审查意见获取、人工复核结果回传</t>
        </is>
      </c>
      <c r="F7" s="61">
        <f>$F$2*H7/$H$2</f>
        <v/>
      </c>
      <c r="G7" s="61">
        <f>$G$2*H7/$H$2</f>
        <v/>
      </c>
      <c r="H7" s="13" t="n">
        <v>12</v>
      </c>
      <c r="I7" s="61">
        <f>$I$2*H7/$H$2</f>
        <v/>
      </c>
      <c r="J7" s="61">
        <f>$J$2*H7/$H$2</f>
        <v/>
      </c>
      <c r="K7" s="61">
        <f>SUM(F7:J7)</f>
        <v/>
      </c>
      <c r="L7" s="22" t="n"/>
    </row>
    <row r="8" ht="31" customHeight="1" s="47">
      <c r="A8" s="8" t="n">
        <v>8</v>
      </c>
      <c r="B8" s="62" t="n"/>
      <c r="C8" s="62" t="n"/>
      <c r="D8" s="26" t="inlineStr">
        <is>
          <t>API接口鉴权与安全防护</t>
        </is>
      </c>
      <c r="E8" s="38" t="inlineStr">
        <is>
          <t>API接口鉴权机制、访问控制与安全防护</t>
        </is>
      </c>
      <c r="F8" s="61">
        <f>$F$2*H8/$H$2</f>
        <v/>
      </c>
      <c r="G8" s="61">
        <f>$G$2*H8/$H$2</f>
        <v/>
      </c>
      <c r="H8" s="13" t="n">
        <v>6</v>
      </c>
      <c r="I8" s="61">
        <f>$I$2*H8/$H$2</f>
        <v/>
      </c>
      <c r="J8" s="61">
        <f>$J$2*H8/$H$2</f>
        <v/>
      </c>
      <c r="K8" s="61">
        <f>SUM(F8:J8)</f>
        <v/>
      </c>
      <c r="L8" s="22" t="n"/>
    </row>
    <row r="9" ht="34" customHeight="1" s="47">
      <c r="A9" s="8" t="n">
        <v>9</v>
      </c>
      <c r="B9" s="62" t="n"/>
      <c r="C9" s="62" t="n"/>
      <c r="D9" s="26" t="inlineStr">
        <is>
          <t>AI审查结果数据模型设计</t>
        </is>
      </c>
      <c r="E9" s="38" t="inlineStr">
        <is>
          <t>设计审查结果数据模型，支持历史审查记录存储与查询</t>
        </is>
      </c>
      <c r="F9" s="61">
        <f>$F$2*H9/$H$2</f>
        <v/>
      </c>
      <c r="G9" s="61">
        <f>$G$2*H9/$H$2</f>
        <v/>
      </c>
      <c r="H9" s="13" t="n">
        <v>6</v>
      </c>
      <c r="I9" s="61">
        <f>$I$2*H9/$H$2</f>
        <v/>
      </c>
      <c r="J9" s="61">
        <f>$J$2*H9/$H$2</f>
        <v/>
      </c>
      <c r="K9" s="61">
        <f>SUM(F9:J9)</f>
        <v/>
      </c>
      <c r="L9" s="23" t="n"/>
    </row>
    <row r="10" ht="33" customHeight="1" s="47">
      <c r="A10" s="8" t="n">
        <v>10</v>
      </c>
      <c r="B10" s="62" t="n"/>
      <c r="C10" s="57" t="n"/>
      <c r="D10" s="26" t="inlineStr">
        <is>
          <t>AI审查流程调度引擎</t>
        </is>
      </c>
      <c r="E10" s="38" t="inlineStr">
        <is>
          <t>开发审查流程调度引擎，实现自动触发、异步执行、结果回调</t>
        </is>
      </c>
      <c r="F10" s="61">
        <f>$F$2*H10/$H$2</f>
        <v/>
      </c>
      <c r="G10" s="61">
        <f>$G$2*H10/$H$2</f>
        <v/>
      </c>
      <c r="H10" s="13" t="n">
        <v>6</v>
      </c>
      <c r="I10" s="61">
        <f>$I$2*H10/$H$2</f>
        <v/>
      </c>
      <c r="J10" s="61">
        <f>$J$2*H10/$H$2</f>
        <v/>
      </c>
      <c r="K10" s="61">
        <f>SUM(F10:J10)</f>
        <v/>
      </c>
      <c r="L10" s="23" t="n"/>
    </row>
    <row r="11" ht="41" customHeight="1" s="47">
      <c r="A11" s="8" t="n">
        <v>12</v>
      </c>
      <c r="B11" s="62" t="n"/>
      <c r="C11" s="38" t="inlineStr">
        <is>
          <t>采购方式智能判断</t>
        </is>
      </c>
      <c r="D11" s="26" t="inlineStr">
        <is>
          <t>采购文本语义分析模型</t>
        </is>
      </c>
      <c r="E11" s="38" t="inlineStr">
        <is>
          <t>开发AI语义分析模型，从立项说明文本中自动判断采购方式</t>
        </is>
      </c>
      <c r="F11" s="61">
        <f>$F$2*H11/$H$2</f>
        <v/>
      </c>
      <c r="G11" s="61">
        <f>$G$2*H11/$H$2</f>
        <v/>
      </c>
      <c r="H11" s="13" t="n">
        <v>14</v>
      </c>
      <c r="I11" s="61">
        <f>$I$2*H11/$H$2</f>
        <v/>
      </c>
      <c r="J11" s="61">
        <f>$J$2*H11/$H$2</f>
        <v/>
      </c>
      <c r="K11" s="61">
        <f>SUM(F11:J11)</f>
        <v/>
      </c>
      <c r="L11" s="23" t="n"/>
    </row>
    <row r="12" ht="34" customHeight="1" s="47">
      <c r="A12" s="8" t="n">
        <v>13</v>
      </c>
      <c r="B12" s="62" t="n"/>
      <c r="C12" s="62" t="n"/>
      <c r="D12" s="11" t="inlineStr">
        <is>
          <t>采购文本特征提取引擎</t>
        </is>
      </c>
      <c r="E12" s="38" t="inlineStr">
        <is>
          <t>开发采购文本特征提取引擎，实现分词、关键词识别、语义特征提取</t>
        </is>
      </c>
      <c r="F12" s="61">
        <f>$F$2*H12/$H$2</f>
        <v/>
      </c>
      <c r="G12" s="61">
        <f>$G$2*H12/$H$2</f>
        <v/>
      </c>
      <c r="H12" s="13" t="n">
        <v>10</v>
      </c>
      <c r="I12" s="61">
        <f>$I$2*H12/$H$2</f>
        <v/>
      </c>
      <c r="J12" s="61">
        <f>$J$2*H12/$H$2</f>
        <v/>
      </c>
      <c r="K12" s="61">
        <f>SUM(F12:J12)</f>
        <v/>
      </c>
      <c r="L12" s="23" t="n"/>
    </row>
    <row r="13" ht="29" customHeight="1" s="47">
      <c r="A13" s="8" t="n">
        <v>14</v>
      </c>
      <c r="B13" s="62" t="n"/>
      <c r="C13" s="62" t="n"/>
      <c r="D13" s="26" t="inlineStr">
        <is>
          <t>采购方式判断逻辑实现</t>
        </is>
      </c>
      <c r="E13" s="38" t="inlineStr">
        <is>
          <t>实现采购方式判断逻辑，整合语义分析结果与规则匹配</t>
        </is>
      </c>
      <c r="F13" s="61">
        <f>$F$2*H13/$H$2</f>
        <v/>
      </c>
      <c r="G13" s="61">
        <f>$G$2*H13/$H$2</f>
        <v/>
      </c>
      <c r="H13" s="13" t="n">
        <v>12</v>
      </c>
      <c r="I13" s="61">
        <f>$I$2*H13/$H$2</f>
        <v/>
      </c>
      <c r="J13" s="61">
        <f>$J$2*H13/$H$2</f>
        <v/>
      </c>
      <c r="K13" s="61">
        <f>SUM(F13:J13)</f>
        <v/>
      </c>
      <c r="L13" s="23" t="n"/>
    </row>
    <row r="14" ht="29" customHeight="1" s="47">
      <c r="A14" s="8" t="n">
        <v>15</v>
      </c>
      <c r="B14" s="62" t="n"/>
      <c r="C14" s="62" t="n"/>
      <c r="D14" s="26" t="inlineStr">
        <is>
          <t>判断逻辑多场景测试验证</t>
        </is>
      </c>
      <c r="E14" s="38" t="inlineStr">
        <is>
          <t>编写测试用例，覆盖多种采购场景的验证与准确率评估</t>
        </is>
      </c>
      <c r="F14" s="61">
        <f>$F$2*H14/$H$2</f>
        <v/>
      </c>
      <c r="G14" s="61">
        <f>$G$2*H14/$H$2</f>
        <v/>
      </c>
      <c r="H14" s="13" t="n">
        <v>8</v>
      </c>
      <c r="I14" s="61">
        <f>$I$2*H14/$H$2</f>
        <v/>
      </c>
      <c r="J14" s="61">
        <f>$J$2*H14/$H$2</f>
        <v/>
      </c>
      <c r="K14" s="61">
        <f>SUM(F14:J14)</f>
        <v/>
      </c>
      <c r="L14" s="23" t="n"/>
    </row>
    <row r="15" ht="29" customHeight="1" s="47">
      <c r="A15" s="8" t="n">
        <v>16</v>
      </c>
      <c r="B15" s="62" t="n"/>
      <c r="C15" s="57" t="n"/>
      <c r="D15" s="26" t="inlineStr">
        <is>
          <t>判断验证与兜底处理</t>
        </is>
      </c>
      <c r="E15" s="38" t="inlineStr">
        <is>
          <t>无法自动判断时的人工确认机制与异常处理流程</t>
        </is>
      </c>
      <c r="F15" s="61">
        <f>$F$2*H15/$H$2</f>
        <v/>
      </c>
      <c r="G15" s="61">
        <f>$G$2*H15/$H$2</f>
        <v/>
      </c>
      <c r="H15" s="13" t="n">
        <v>6</v>
      </c>
      <c r="I15" s="61">
        <f>$I$2*H15/$H$2</f>
        <v/>
      </c>
      <c r="J15" s="61">
        <f>$J$2*H15/$H$2</f>
        <v/>
      </c>
      <c r="K15" s="61">
        <f>SUM(F15:J15)</f>
        <v/>
      </c>
      <c r="L15" s="23" t="n"/>
    </row>
    <row r="16" ht="28" customHeight="1" s="47">
      <c r="A16" s="8" t="n">
        <v>17</v>
      </c>
      <c r="B16" s="62" t="n"/>
      <c r="C16" s="38" t="inlineStr">
        <is>
          <t>ECP数据AI应用</t>
        </is>
      </c>
      <c r="D16" s="26" t="inlineStr">
        <is>
          <t>ECP接口对接开发</t>
        </is>
      </c>
      <c r="E16" s="38" t="inlineStr">
        <is>
          <t>对接ECP系统接口，确认接口可用性，完成接口鉴权与数据交互</t>
        </is>
      </c>
      <c r="F16" s="61">
        <f>$F$2*H16/$H$2</f>
        <v/>
      </c>
      <c r="G16" s="61">
        <f>$G$2*H16/$H$2</f>
        <v/>
      </c>
      <c r="H16" s="13" t="n">
        <v>10</v>
      </c>
      <c r="I16" s="61">
        <f>$I$2*H16/$H$2</f>
        <v/>
      </c>
      <c r="J16" s="61">
        <f>$J$2*H16/$H$2</f>
        <v/>
      </c>
      <c r="K16" s="61">
        <f>SUM(F16:J16)</f>
        <v/>
      </c>
      <c r="L16" s="23" t="n"/>
    </row>
    <row r="17" ht="30" customHeight="1" s="47">
      <c r="A17" s="8" t="n">
        <v>18</v>
      </c>
      <c r="B17" s="62" t="n"/>
      <c r="C17" s="62" t="n"/>
      <c r="D17" s="26" t="inlineStr">
        <is>
          <t>供应商资质数据清洗与标准化</t>
        </is>
      </c>
      <c r="E17" s="38" t="inlineStr">
        <is>
          <t>对从ECP获取的供应商资质数据进行清洗、标准化，转换为AI可用格式</t>
        </is>
      </c>
      <c r="F17" s="61">
        <f>$F$2*H17/$H$2</f>
        <v/>
      </c>
      <c r="G17" s="61">
        <f>$G$2*H17/$H$2</f>
        <v/>
      </c>
      <c r="H17" s="13" t="n">
        <v>10</v>
      </c>
      <c r="I17" s="61">
        <f>$I$2*H17/$H$2</f>
        <v/>
      </c>
      <c r="J17" s="61">
        <f>$J$2*H17/$H$2</f>
        <v/>
      </c>
      <c r="K17" s="61">
        <f>SUM(F17:J17)</f>
        <v/>
      </c>
      <c r="L17" s="23" t="n"/>
    </row>
    <row r="18" ht="33" customHeight="1" s="47">
      <c r="A18" s="8" t="n">
        <v>19</v>
      </c>
      <c r="B18" s="62" t="n"/>
      <c r="C18" s="62" t="n"/>
      <c r="D18" s="26" t="inlineStr">
        <is>
          <t>供应商资质AI比对算法</t>
        </is>
      </c>
      <c r="E18" s="38" t="inlineStr">
        <is>
          <t>开发AI自动比对算法，智能匹配供应商资质与采购要求</t>
        </is>
      </c>
      <c r="F18" s="61">
        <f>$F$2*H18/$H$2</f>
        <v/>
      </c>
      <c r="G18" s="61">
        <f>$G$2*H18/$H$2</f>
        <v/>
      </c>
      <c r="H18" s="13" t="n">
        <v>14</v>
      </c>
      <c r="I18" s="61">
        <f>$I$2*H18/$H$2</f>
        <v/>
      </c>
      <c r="J18" s="61">
        <f>$J$2*H18/$H$2</f>
        <v/>
      </c>
      <c r="K18" s="61">
        <f>SUM(F18:J18)</f>
        <v/>
      </c>
      <c r="L18" s="23" t="n"/>
    </row>
    <row r="19" ht="33" customHeight="1" s="47">
      <c r="A19" s="8" t="n">
        <v>20</v>
      </c>
      <c r="B19" s="62" t="n"/>
      <c r="C19" s="62" t="n"/>
      <c r="D19" s="26" t="inlineStr">
        <is>
          <t>供应商资质比对规则配置</t>
        </is>
      </c>
      <c r="E19" s="38" t="inlineStr">
        <is>
          <t>开发比对规则配置功能，支持灵活配置比对条件与阈值</t>
        </is>
      </c>
      <c r="F19" s="61">
        <f>$F$2*H19/$H$2</f>
        <v/>
      </c>
      <c r="G19" s="61">
        <f>$G$2*H19/$H$2</f>
        <v/>
      </c>
      <c r="H19" s="13" t="n">
        <v>8</v>
      </c>
      <c r="I19" s="61">
        <f>$I$2*H19/$H$2</f>
        <v/>
      </c>
      <c r="J19" s="61">
        <f>$J$2*H19/$H$2</f>
        <v/>
      </c>
      <c r="K19" s="61">
        <f>SUM(F19:J19)</f>
        <v/>
      </c>
      <c r="L19" s="23" t="n"/>
    </row>
    <row r="20" ht="30" customHeight="1" s="47">
      <c r="A20" s="8" t="n">
        <v>21</v>
      </c>
      <c r="B20" s="62" t="n"/>
      <c r="C20" s="62" t="n"/>
      <c r="D20" s="27" t="inlineStr">
        <is>
          <t>AI比对结果审查报告生成</t>
        </is>
      </c>
      <c r="E20" s="38" t="inlineStr">
        <is>
          <t>基于AI比对结果自动生成供应商资质审查报告</t>
        </is>
      </c>
      <c r="F20" s="61">
        <f>$F$2*H20/$H$2</f>
        <v/>
      </c>
      <c r="G20" s="61">
        <f>$G$2*H20/$H$2</f>
        <v/>
      </c>
      <c r="H20" s="13" t="n">
        <v>10</v>
      </c>
      <c r="I20" s="61">
        <f>$I$2*H20/$H$2</f>
        <v/>
      </c>
      <c r="J20" s="61">
        <f>$J$2*H20/$H$2</f>
        <v/>
      </c>
      <c r="K20" s="61">
        <f>SUM(F20:J20)</f>
        <v/>
      </c>
      <c r="L20" s="23" t="n"/>
    </row>
    <row r="21" s="47">
      <c r="A21" s="8" t="n">
        <v>22</v>
      </c>
      <c r="B21" s="62" t="n"/>
      <c r="C21" s="57" t="n"/>
      <c r="D21" s="27" t="inlineStr">
        <is>
          <t>供应商资质AI分级分类</t>
        </is>
      </c>
      <c r="E21" s="38" t="inlineStr">
        <is>
          <t>基于历史数据对供应商资质进行AI分级分类，辅助审查决策</t>
        </is>
      </c>
      <c r="F21" s="61">
        <f>$F$2*H21/$H$2</f>
        <v/>
      </c>
      <c r="G21" s="61">
        <f>$G$2*H21/$H$2</f>
        <v/>
      </c>
      <c r="H21" s="13" t="n">
        <v>8</v>
      </c>
      <c r="I21" s="61">
        <f>$I$2*H21/$H$2</f>
        <v/>
      </c>
      <c r="J21" s="61">
        <f>$J$2*H21/$H$2</f>
        <v/>
      </c>
      <c r="K21" s="61">
        <f>SUM(F21:J21)</f>
        <v/>
      </c>
      <c r="L21" s="23" t="n"/>
    </row>
    <row r="22" ht="22" customHeight="1" s="47">
      <c r="A22" s="8" t="n">
        <v>24</v>
      </c>
      <c r="B22" s="62" t="n"/>
      <c r="C22" s="41" t="inlineStr">
        <is>
          <t>AI能力基础建设</t>
        </is>
      </c>
      <c r="D22" s="27" t="inlineStr">
        <is>
          <t>AI审查日志与审计</t>
        </is>
      </c>
      <c r="E22" s="38" t="inlineStr">
        <is>
          <t>AI审查全流程日志记录，支持审查结果追溯与审计</t>
        </is>
      </c>
      <c r="F22" s="61">
        <f>$F$2*H22/$H$2</f>
        <v/>
      </c>
      <c r="G22" s="61">
        <f>$G$2*H22/$H$2</f>
        <v/>
      </c>
      <c r="H22" s="13" t="n">
        <v>6</v>
      </c>
      <c r="I22" s="61">
        <f>$I$2*H22/$H$2</f>
        <v/>
      </c>
      <c r="J22" s="61">
        <f>$J$2*H22/$H$2</f>
        <v/>
      </c>
      <c r="K22" s="61">
        <f>SUM(F22:J22)</f>
        <v/>
      </c>
      <c r="L22" s="23" t="n"/>
    </row>
    <row r="23" s="47">
      <c r="A23" s="8" t="n">
        <v>25</v>
      </c>
      <c r="B23" s="62" t="n"/>
      <c r="C23" s="62" t="n"/>
      <c r="D23" s="27" t="inlineStr">
        <is>
          <t>AI审查结果缓存优化</t>
        </is>
      </c>
      <c r="E23" s="38" t="inlineStr">
        <is>
          <t>审查结果缓存策略设计与实现，提升AI审查响应性能</t>
        </is>
      </c>
      <c r="F23" s="61">
        <f>$F$2*H23/$H$2</f>
        <v/>
      </c>
      <c r="G23" s="61">
        <f>$G$2*H23/$H$2</f>
        <v/>
      </c>
      <c r="H23" s="13" t="n">
        <v>6</v>
      </c>
      <c r="I23" s="61">
        <f>$I$2*H23/$H$2</f>
        <v/>
      </c>
      <c r="J23" s="61">
        <f>$J$2*H23/$H$2</f>
        <v/>
      </c>
      <c r="K23" s="61">
        <f>SUM(F23:J23)</f>
        <v/>
      </c>
      <c r="L23" s="23" t="n"/>
    </row>
    <row r="24" s="47">
      <c r="A24" s="8" t="n">
        <v>26</v>
      </c>
      <c r="B24" s="62" t="n"/>
      <c r="C24" s="62" t="n"/>
      <c r="D24" s="27" t="inlineStr">
        <is>
          <t>AI审查全流程联调优化</t>
        </is>
      </c>
      <c r="E24" s="38" t="inlineStr">
        <is>
          <t>AMS系统集成测试，功能验证与性能测试</t>
        </is>
      </c>
      <c r="F24" s="61">
        <f>$F$2*H24/$H$2</f>
        <v/>
      </c>
      <c r="G24" s="61">
        <f>$G$2*H24/$H$2</f>
        <v/>
      </c>
      <c r="H24" s="13" t="n">
        <v>12</v>
      </c>
      <c r="I24" s="61">
        <f>$I$2*H24/$H$2</f>
        <v/>
      </c>
      <c r="J24" s="61">
        <f>$J$2*H24/$H$2</f>
        <v/>
      </c>
      <c r="K24" s="61">
        <f>SUM(F24:J24)</f>
        <v/>
      </c>
      <c r="L24" s="23" t="n"/>
    </row>
    <row r="25" s="47">
      <c r="A25" s="8" t="n">
        <v>27</v>
      </c>
      <c r="B25" s="62" t="n"/>
      <c r="C25" s="57" t="n"/>
      <c r="D25" s="27" t="inlineStr">
        <is>
          <t>AI审查监控与告警</t>
        </is>
      </c>
      <c r="E25" s="38" t="inlineStr">
        <is>
          <t>AI审查运行状态监控与异常告警</t>
        </is>
      </c>
      <c r="F25" s="61">
        <f>$F$2*H25/$H$2</f>
        <v/>
      </c>
      <c r="G25" s="61">
        <f>$G$2*H25/$H$2</f>
        <v/>
      </c>
      <c r="H25" s="13" t="n">
        <v>6</v>
      </c>
      <c r="I25" s="61">
        <f>$I$2*H25/$H$2</f>
        <v/>
      </c>
      <c r="J25" s="61">
        <f>$J$2*H25/$H$2</f>
        <v/>
      </c>
      <c r="K25" s="61">
        <f>SUM(F25:J25)</f>
        <v/>
      </c>
      <c r="L25" s="23" t="n"/>
    </row>
    <row r="26" s="47">
      <c r="A26" s="8" t="n">
        <v>29</v>
      </c>
      <c r="B26" s="62" t="n"/>
      <c r="C26" s="31" t="inlineStr">
        <is>
          <t>域登录与安全</t>
        </is>
      </c>
      <c r="D26" s="32" t="inlineStr">
        <is>
          <t>域登录验证</t>
        </is>
      </c>
      <c r="E26" s="31" t="inlineStr">
        <is>
          <t>集成域登录验证，支持单点登录</t>
        </is>
      </c>
      <c r="F26" s="61">
        <f>$F$2*H26/$H$2</f>
        <v/>
      </c>
      <c r="G26" s="61">
        <f>$G$2*H26/$H$2</f>
        <v/>
      </c>
      <c r="H26" s="13" t="n">
        <v>5</v>
      </c>
      <c r="I26" s="61">
        <f>$I$2*H26/$H$2</f>
        <v/>
      </c>
      <c r="J26" s="61">
        <f>$J$2*H26/$H$2</f>
        <v/>
      </c>
      <c r="K26" s="61">
        <f>SUM(F26:J26)</f>
        <v/>
      </c>
      <c r="L26" s="23" t="n"/>
    </row>
    <row r="27" s="47">
      <c r="A27" s="8" t="n">
        <v>30</v>
      </c>
      <c r="B27" s="62" t="n"/>
      <c r="C27" s="62" t="n"/>
      <c r="D27" s="32" t="inlineStr">
        <is>
          <t>加密验证</t>
        </is>
      </c>
      <c r="E27" s="31" t="inlineStr">
        <is>
          <t>接口数据传输加密验证</t>
        </is>
      </c>
      <c r="F27" s="61">
        <f>$F$2*H27/$H$2</f>
        <v/>
      </c>
      <c r="G27" s="61">
        <f>$G$2*H27/$H$2</f>
        <v/>
      </c>
      <c r="H27" s="13" t="n">
        <v>4</v>
      </c>
      <c r="I27" s="61">
        <f>$I$2*H27/$H$2</f>
        <v/>
      </c>
      <c r="J27" s="61">
        <f>$J$2*H27/$H$2</f>
        <v/>
      </c>
      <c r="K27" s="61">
        <f>SUM(F27:J27)</f>
        <v/>
      </c>
      <c r="L27" s="23" t="n"/>
    </row>
    <row r="28" s="47">
      <c r="A28" s="8" t="n">
        <v>31</v>
      </c>
      <c r="B28" s="62" t="n"/>
      <c r="C28" s="62" t="n"/>
      <c r="D28" s="32" t="inlineStr">
        <is>
          <t>数字证书</t>
        </is>
      </c>
      <c r="E28" s="31" t="inlineStr">
        <is>
          <t>数字证书集成与验证</t>
        </is>
      </c>
      <c r="F28" s="61">
        <f>$F$2*H28/$H$2</f>
        <v/>
      </c>
      <c r="G28" s="61">
        <f>$G$2*H28/$H$2</f>
        <v/>
      </c>
      <c r="H28" s="13" t="n">
        <v>5</v>
      </c>
      <c r="I28" s="61">
        <f>$I$2*H28/$H$2</f>
        <v/>
      </c>
      <c r="J28" s="61">
        <f>$J$2*H28/$H$2</f>
        <v/>
      </c>
      <c r="K28" s="61">
        <f>SUM(F28:J28)</f>
        <v/>
      </c>
      <c r="L28" s="23" t="n"/>
    </row>
    <row r="29" s="47">
      <c r="A29" s="8" t="n">
        <v>32</v>
      </c>
      <c r="B29" s="62" t="n"/>
      <c r="C29" s="57" t="n"/>
      <c r="D29" s="32" t="inlineStr">
        <is>
          <t>4A认证</t>
        </is>
      </c>
      <c r="E29" s="31" t="inlineStr">
        <is>
          <t>4A统一认证集成</t>
        </is>
      </c>
      <c r="F29" s="61">
        <f>$F$2*H29/$H$2</f>
        <v/>
      </c>
      <c r="G29" s="61">
        <f>$G$2*H29/$H$2</f>
        <v/>
      </c>
      <c r="H29" s="13" t="n">
        <v>4</v>
      </c>
      <c r="I29" s="61">
        <f>$I$2*H29/$H$2</f>
        <v/>
      </c>
      <c r="J29" s="61">
        <f>$J$2*H29/$H$2</f>
        <v/>
      </c>
      <c r="K29" s="61">
        <f>SUM(F29:J29)</f>
        <v/>
      </c>
      <c r="L29" s="23" t="n"/>
    </row>
    <row r="30" s="47">
      <c r="A30" s="8" t="n">
        <v>33</v>
      </c>
      <c r="B30" s="62" t="n"/>
      <c r="C30" s="31" t="inlineStr">
        <is>
          <t>系统日志管理</t>
        </is>
      </c>
      <c r="D30" s="32" t="inlineStr">
        <is>
          <t>用户操作日志</t>
        </is>
      </c>
      <c r="E30" s="31" t="inlineStr">
        <is>
          <t>记录用户操作日志，支持查询与导出</t>
        </is>
      </c>
      <c r="F30" s="61">
        <f>$F$2*H30/$H$2</f>
        <v/>
      </c>
      <c r="G30" s="61">
        <f>$G$2*H30/$H$2</f>
        <v/>
      </c>
      <c r="H30" s="13" t="n">
        <v>5</v>
      </c>
      <c r="I30" s="61">
        <f>$I$2*H30/$H$2</f>
        <v/>
      </c>
      <c r="J30" s="61">
        <f>$J$2*H30/$H$2</f>
        <v/>
      </c>
      <c r="K30" s="61">
        <f>SUM(F30:J30)</f>
        <v/>
      </c>
      <c r="L30" s="23" t="n"/>
    </row>
    <row r="31" s="47">
      <c r="A31" s="8" t="n">
        <v>34</v>
      </c>
      <c r="B31" s="62" t="n"/>
      <c r="C31" s="57" t="n"/>
      <c r="D31" s="32" t="inlineStr">
        <is>
          <t>异常日志</t>
        </is>
      </c>
      <c r="E31" s="31" t="inlineStr">
        <is>
          <t>系统异常日志记录与告警</t>
        </is>
      </c>
      <c r="F31" s="61">
        <f>$F$2*H31/$H$2</f>
        <v/>
      </c>
      <c r="G31" s="61">
        <f>$G$2*H31/$H$2</f>
        <v/>
      </c>
      <c r="H31" s="13" t="n">
        <v>4</v>
      </c>
      <c r="I31" s="61">
        <f>$I$2*H31/$H$2</f>
        <v/>
      </c>
      <c r="J31" s="61">
        <f>$J$2*H31/$H$2</f>
        <v/>
      </c>
      <c r="K31" s="61">
        <f>SUM(F31:J31)</f>
        <v/>
      </c>
      <c r="L31" s="23" t="n"/>
    </row>
    <row r="32" s="47">
      <c r="A32" s="8" t="n">
        <v>35</v>
      </c>
      <c r="B32" s="62" t="n"/>
      <c r="C32" s="33" t="inlineStr">
        <is>
          <t>系统安全</t>
        </is>
      </c>
      <c r="D32" s="32" t="inlineStr">
        <is>
          <t>配置文件加密</t>
        </is>
      </c>
      <c r="E32" s="32" t="inlineStr">
        <is>
          <t>敏感配置文件加密存储</t>
        </is>
      </c>
      <c r="F32" s="61">
        <f>$F$2*H32/$H$2</f>
        <v/>
      </c>
      <c r="G32" s="61">
        <f>$G$2*H32/$H$2</f>
        <v/>
      </c>
      <c r="H32" s="13" t="n">
        <v>3</v>
      </c>
      <c r="I32" s="61">
        <f>$I$2*H32/$H$2</f>
        <v/>
      </c>
      <c r="J32" s="61">
        <f>$J$2*H32/$H$2</f>
        <v/>
      </c>
      <c r="K32" s="61">
        <f>SUM(F32:J32)</f>
        <v/>
      </c>
      <c r="L32" s="23" t="n"/>
    </row>
    <row r="33" s="47">
      <c r="A33" s="8" t="n">
        <v>36</v>
      </c>
      <c r="B33" s="62" t="n"/>
      <c r="C33" s="63" t="n"/>
      <c r="D33" s="32" t="inlineStr">
        <is>
          <t>服务器漏洞及风险整改</t>
        </is>
      </c>
      <c r="E33" s="32" t="inlineStr">
        <is>
          <t>服务器安全漏洞扫描与整改</t>
        </is>
      </c>
      <c r="F33" s="61">
        <f>$F$2*H33/$H$2</f>
        <v/>
      </c>
      <c r="G33" s="61">
        <f>$G$2*H33/$H$2</f>
        <v/>
      </c>
      <c r="H33" s="13" t="n">
        <v>4</v>
      </c>
      <c r="I33" s="61">
        <f>$I$2*H33/$H$2</f>
        <v/>
      </c>
      <c r="J33" s="61">
        <f>$J$2*H33/$H$2</f>
        <v/>
      </c>
      <c r="K33" s="61">
        <f>SUM(F33:J33)</f>
        <v/>
      </c>
      <c r="L33" s="23" t="n"/>
    </row>
    <row r="34" s="47">
      <c r="A34" s="8" t="n">
        <v>37</v>
      </c>
      <c r="B34" s="62" t="n"/>
      <c r="C34" s="63" t="n"/>
      <c r="D34" s="32" t="inlineStr">
        <is>
          <t>证书域名</t>
        </is>
      </c>
      <c r="E34" s="32" t="inlineStr">
        <is>
          <t>HTTPS证书域名配置</t>
        </is>
      </c>
      <c r="F34" s="61">
        <f>$F$2*H34/$H$2</f>
        <v/>
      </c>
      <c r="G34" s="61">
        <f>$G$2*H34/$H$2</f>
        <v/>
      </c>
      <c r="H34" s="13" t="n">
        <v>3</v>
      </c>
      <c r="I34" s="61">
        <f>$I$2*H34/$H$2</f>
        <v/>
      </c>
      <c r="J34" s="61">
        <f>$J$2*H34/$H$2</f>
        <v/>
      </c>
      <c r="K34" s="61">
        <f>SUM(F34:J34)</f>
        <v/>
      </c>
      <c r="L34" s="23" t="n"/>
    </row>
    <row r="35" s="47">
      <c r="A35" s="8" t="n">
        <v>38</v>
      </c>
      <c r="B35" s="62" t="n"/>
      <c r="C35" s="63" t="n"/>
      <c r="D35" s="34" t="inlineStr">
        <is>
          <t>测试、预生产、生产服务器搭建部署</t>
        </is>
      </c>
      <c r="E35" s="34" t="inlineStr">
        <is>
          <t>测试、预生产、生产服务器搭建部署</t>
        </is>
      </c>
      <c r="F35" s="61">
        <f>$F$2*H35/$H$2</f>
        <v/>
      </c>
      <c r="G35" s="61">
        <f>$G$2*H35/$H$2</f>
        <v/>
      </c>
      <c r="H35" s="13" t="n">
        <v>5</v>
      </c>
      <c r="I35" s="61">
        <f>$I$2*H35/$H$2</f>
        <v/>
      </c>
      <c r="J35" s="61">
        <f>$J$2*H35/$H$2</f>
        <v/>
      </c>
      <c r="K35" s="61">
        <f>SUM(F35:J35)</f>
        <v/>
      </c>
      <c r="L35" s="23" t="n"/>
    </row>
    <row r="36" s="47">
      <c r="A36" s="8" t="n">
        <v>39</v>
      </c>
      <c r="B36" s="57" t="n"/>
      <c r="C36" s="64" t="n"/>
      <c r="D36" s="27" t="inlineStr">
        <is>
          <t>UAU角色配置</t>
        </is>
      </c>
      <c r="E36" s="26" t="inlineStr">
        <is>
          <t>UAU角色配置</t>
        </is>
      </c>
      <c r="F36" s="61">
        <f>$F$2*H36/$H$2</f>
        <v/>
      </c>
      <c r="G36" s="61">
        <f>$G$2*H36/$H$2</f>
        <v/>
      </c>
      <c r="H36" s="13" t="n">
        <v>3</v>
      </c>
      <c r="I36" s="61">
        <f>$I$2*H36/$H$2</f>
        <v/>
      </c>
      <c r="J36" s="61">
        <f>$J$2*H36/$H$2</f>
        <v/>
      </c>
      <c r="K36" s="61">
        <f>SUM(F36:J36)</f>
        <v/>
      </c>
      <c r="L36" s="23" t="n"/>
    </row>
    <row r="37" s="47">
      <c r="A37" s="8" t="n">
        <v>40</v>
      </c>
      <c r="B37" s="9" t="n"/>
      <c r="C37" s="33" t="n"/>
      <c r="D37" s="27" t="n"/>
      <c r="E37" s="26" t="n"/>
      <c r="F37" s="61">
        <f>$F$2*H37/$H$2</f>
        <v/>
      </c>
      <c r="G37" s="61">
        <f>$G$2*H37/$H$2</f>
        <v/>
      </c>
      <c r="H37" s="13" t="n">
        <v>3</v>
      </c>
      <c r="I37" s="61">
        <f>$I$2*H37/$H$2</f>
        <v/>
      </c>
      <c r="J37" s="61">
        <f>$J$2*H37/$H$2</f>
        <v/>
      </c>
      <c r="K37" s="61">
        <f>SUM(F37:J37)</f>
        <v/>
      </c>
      <c r="L37" s="23" t="n"/>
    </row>
    <row r="38" s="47">
      <c r="A38" s="8" t="n">
        <v>41</v>
      </c>
      <c r="B38" s="17" t="inlineStr">
        <is>
          <t>小计：人天</t>
        </is>
      </c>
      <c r="C38" s="48" t="n"/>
      <c r="D38" s="48" t="n"/>
      <c r="E38" s="49" t="n"/>
      <c r="F38" s="61">
        <f>SUM(F3:F25)</f>
        <v/>
      </c>
      <c r="G38" s="61">
        <f>SUM(G3:G25)</f>
        <v/>
      </c>
      <c r="H38" s="61">
        <f>SUM(H3:H25)</f>
        <v/>
      </c>
      <c r="I38" s="61">
        <f>SUM(I3:I25)</f>
        <v/>
      </c>
      <c r="J38" s="61">
        <f>SUM(J3:J25)</f>
        <v/>
      </c>
      <c r="K38" s="61">
        <f>SUM(K3:K36)</f>
        <v/>
      </c>
      <c r="L38" s="23" t="n"/>
    </row>
    <row r="39" ht="16.2" customHeight="1" s="47">
      <c r="A39" s="8" t="n">
        <v>41</v>
      </c>
      <c r="B39" s="18" t="inlineStr">
        <is>
          <t>小计：人月</t>
        </is>
      </c>
      <c r="C39" s="48" t="n"/>
      <c r="D39" s="48" t="n"/>
      <c r="E39" s="49" t="n"/>
      <c r="F39" s="61">
        <f>F38/21.75</f>
        <v/>
      </c>
      <c r="G39" s="61">
        <f>G38/21.75</f>
        <v/>
      </c>
      <c r="H39" s="61">
        <f>H38/21.75</f>
        <v/>
      </c>
      <c r="I39" s="61">
        <f>I38/21.75</f>
        <v/>
      </c>
      <c r="J39" s="61">
        <f>J38/21.75</f>
        <v/>
      </c>
      <c r="K39" s="65">
        <f>K38/21.75</f>
        <v/>
      </c>
      <c r="L39" s="23" t="n"/>
    </row>
  </sheetData>
  <mergeCells count="15">
    <mergeCell ref="C30:C31"/>
    <mergeCell ref="C22:C25"/>
    <mergeCell ref="C3:C10"/>
    <mergeCell ref="B38:E38"/>
    <mergeCell ref="C11:C15"/>
    <mergeCell ref="C26:C29"/>
    <mergeCell ref="C32:C36"/>
    <mergeCell ref="B39:E39"/>
    <mergeCell ref="B3:B36"/>
    <mergeCell ref="C16:C21"/>
    <mergeCell ref="D3:D4"/>
    <mergeCell ref="B1:E2"/>
    <mergeCell ref="L1:L2"/>
    <mergeCell ref="A1:A2"/>
    <mergeCell ref="D5:D6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0" summaryRight="0"/>
    <pageSetUpPr/>
  </sheetPr>
  <dimension ref="A1:L10"/>
  <sheetViews>
    <sheetView topLeftCell="C1" workbookViewId="0">
      <selection activeCell="A1" sqref="A1:A2"/>
    </sheetView>
  </sheetViews>
  <sheetFormatPr baseColWidth="8" defaultColWidth="8.66923076923077" defaultRowHeight="15.6" customHeight="1"/>
  <cols>
    <col width="3.33076923076923" customWidth="1" style="1" min="1" max="1"/>
    <col width="8" customWidth="1" style="1" min="2" max="2"/>
    <col width="20.5" customWidth="1" style="1" min="3" max="3"/>
    <col width="22.3307692307692" customWidth="1" style="1" min="4" max="4"/>
    <col width="39.1615384615385" customWidth="1" style="2" min="5" max="5"/>
    <col width="6.16153846153846" customWidth="1" style="1" min="6" max="7"/>
    <col width="6.83076923076923" customWidth="1" style="1" min="8" max="8"/>
    <col width="6.16153846153846" customWidth="1" style="1" min="9" max="9"/>
    <col width="6.83076923076923" customWidth="1" style="1" min="10" max="10"/>
    <col width="12.3307692307692" customWidth="1" style="1" min="11" max="11"/>
    <col width="7.33076923076923" customWidth="1" style="1" min="12" max="12"/>
  </cols>
  <sheetData>
    <row r="1" s="47">
      <c r="A1" s="3" t="inlineStr">
        <is>
          <t>序号</t>
        </is>
      </c>
      <c r="B1" s="3" t="inlineStr">
        <is>
          <t>估算项</t>
        </is>
      </c>
      <c r="C1" s="54" t="n"/>
      <c r="D1" s="54" t="n"/>
      <c r="E1" s="55" t="n"/>
      <c r="F1" s="5" t="inlineStr">
        <is>
          <t>需求人天</t>
        </is>
      </c>
      <c r="G1" s="5" t="inlineStr">
        <is>
          <t>设计人天</t>
        </is>
      </c>
      <c r="H1" s="6" t="inlineStr">
        <is>
          <t>编码人天</t>
        </is>
      </c>
      <c r="I1" s="5" t="inlineStr">
        <is>
          <t>测试人天</t>
        </is>
      </c>
      <c r="J1" s="6" t="inlineStr">
        <is>
          <t>管理人天</t>
        </is>
      </c>
      <c r="K1" s="6" t="inlineStr">
        <is>
          <t>合计</t>
        </is>
      </c>
      <c r="L1" s="56" t="inlineStr">
        <is>
          <t>备注</t>
        </is>
      </c>
    </row>
    <row r="2" s="47">
      <c r="A2" s="57" t="n"/>
      <c r="B2" s="58" t="n"/>
      <c r="C2" s="59" t="n"/>
      <c r="D2" s="59" t="n"/>
      <c r="E2" s="60" t="n"/>
      <c r="F2" s="7" t="n">
        <v>0.2</v>
      </c>
      <c r="G2" s="7" t="n">
        <v>0.15</v>
      </c>
      <c r="H2" s="7" t="n">
        <v>0.4</v>
      </c>
      <c r="I2" s="7" t="n">
        <v>0.15</v>
      </c>
      <c r="J2" s="7" t="n">
        <v>0.1</v>
      </c>
      <c r="K2" s="7" t="n">
        <v>1</v>
      </c>
      <c r="L2" s="57" t="n"/>
    </row>
    <row r="3" ht="32" customHeight="1" s="47">
      <c r="A3" s="8" t="n">
        <v>3</v>
      </c>
      <c r="B3" s="9" t="inlineStr">
        <is>
          <t>阳江AI审查项目</t>
        </is>
      </c>
      <c r="C3" s="38" t="inlineStr">
        <is>
          <t>采购申请AI审查</t>
        </is>
      </c>
      <c r="D3" s="11" t="inlineStr">
        <is>
          <t>流程改造</t>
        </is>
      </c>
      <c r="E3" s="38" t="inlineStr">
        <is>
          <t>采购申请/变更流程改造</t>
        </is>
      </c>
      <c r="F3" s="61">
        <f>$F$2*H3/$H$2</f>
        <v/>
      </c>
      <c r="G3" s="61">
        <f>$G$2*H3/$H$2</f>
        <v/>
      </c>
      <c r="H3" s="13" t="n">
        <v>1</v>
      </c>
      <c r="I3" s="61">
        <f>$I$2*H3/$H$2</f>
        <v/>
      </c>
      <c r="J3" s="61">
        <f>$J$2*H3/$H$2</f>
        <v/>
      </c>
      <c r="K3" s="61">
        <f>SUM(F3:J3)</f>
        <v/>
      </c>
      <c r="L3" s="21" t="n"/>
    </row>
    <row r="4" ht="35" customHeight="1" s="47">
      <c r="A4" s="8" t="n">
        <v>5</v>
      </c>
      <c r="B4" s="62" t="n"/>
      <c r="C4" s="62" t="n"/>
      <c r="D4" s="11" t="inlineStr">
        <is>
          <t>采购方式字段改造</t>
        </is>
      </c>
      <c r="E4" s="38" t="inlineStr">
        <is>
          <t>采购方式八大类</t>
        </is>
      </c>
      <c r="F4" s="61">
        <f>$F$2*H4/$H$2</f>
        <v/>
      </c>
      <c r="G4" s="61">
        <f>$G$2*H4/$H$2</f>
        <v/>
      </c>
      <c r="H4" s="13" t="n">
        <v>1</v>
      </c>
      <c r="I4" s="61">
        <f>$I$2*H4/$H$2</f>
        <v/>
      </c>
      <c r="J4" s="61">
        <f>$J$2*H4/$H$2</f>
        <v/>
      </c>
      <c r="K4" s="61">
        <f>SUM(F4:J4)</f>
        <v/>
      </c>
      <c r="L4" s="21" t="n"/>
    </row>
    <row r="5" ht="31" customHeight="1" s="47">
      <c r="A5" s="8" t="n">
        <v>7</v>
      </c>
      <c r="B5" s="62" t="n"/>
      <c r="C5" s="62" t="n"/>
      <c r="D5" s="14" t="inlineStr">
        <is>
          <t>对接ECP系统</t>
        </is>
      </c>
      <c r="E5" s="38" t="inlineStr">
        <is>
          <t>查供应商的资质情况（查看分类，质保等级），有关系图表</t>
        </is>
      </c>
      <c r="F5" s="61">
        <f>$F$2*H5/$H$2</f>
        <v/>
      </c>
      <c r="G5" s="61">
        <f>$G$2*H5/$H$2</f>
        <v/>
      </c>
      <c r="H5" s="13" t="n">
        <v>12</v>
      </c>
      <c r="I5" s="61">
        <f>$I$2*H5/$H$2</f>
        <v/>
      </c>
      <c r="J5" s="61">
        <f>$J$2*H5/$H$2</f>
        <v/>
      </c>
      <c r="K5" s="61">
        <f>SUM(F5:J5)</f>
        <v/>
      </c>
      <c r="L5" s="22" t="n"/>
    </row>
    <row r="6" ht="31" customHeight="1" s="47">
      <c r="A6" s="8" t="n">
        <v>8</v>
      </c>
      <c r="B6" s="62" t="n"/>
      <c r="C6" s="62" t="n"/>
      <c r="D6" s="26" t="inlineStr">
        <is>
          <t>AI审查</t>
        </is>
      </c>
      <c r="E6" s="38" t="inlineStr">
        <is>
          <t>AI审查接口对接</t>
        </is>
      </c>
      <c r="F6" s="61">
        <f>$F$2*H6/$H$2</f>
        <v/>
      </c>
      <c r="G6" s="61">
        <f>$G$2*H6/$H$2</f>
        <v/>
      </c>
      <c r="H6" s="13" t="n">
        <v>8</v>
      </c>
      <c r="I6" s="61">
        <f>$I$2*H6/$H$2</f>
        <v/>
      </c>
      <c r="J6" s="61">
        <f>$J$2*H6/$H$2</f>
        <v/>
      </c>
      <c r="K6" s="61">
        <f>SUM(F6:J6)</f>
        <v/>
      </c>
      <c r="L6" s="22" t="n"/>
    </row>
    <row r="7" ht="34" customHeight="1" s="47">
      <c r="A7" s="8" t="n">
        <v>9</v>
      </c>
      <c r="B7" s="62" t="n"/>
      <c r="C7" s="62" t="n"/>
      <c r="D7" s="66" t="n"/>
      <c r="E7" s="38" t="inlineStr">
        <is>
          <t>AI审查回调接口设计</t>
        </is>
      </c>
      <c r="F7" s="61">
        <f>$F$2*H7/$H$2</f>
        <v/>
      </c>
      <c r="G7" s="61">
        <f>$G$2*H7/$H$2</f>
        <v/>
      </c>
      <c r="H7" s="13" t="n">
        <v>6</v>
      </c>
      <c r="I7" s="61">
        <f>$I$2*H7/$H$2</f>
        <v/>
      </c>
      <c r="J7" s="61">
        <f>$J$2*H7/$H$2</f>
        <v/>
      </c>
      <c r="K7" s="61">
        <f>SUM(F7:J7)</f>
        <v/>
      </c>
      <c r="L7" s="23" t="n"/>
    </row>
    <row r="8" ht="33" customHeight="1" s="47">
      <c r="A8" s="8" t="n">
        <v>10</v>
      </c>
      <c r="B8" s="57" t="n"/>
      <c r="C8" s="57" t="n"/>
      <c r="D8" s="60" t="n"/>
      <c r="E8" s="38" t="inlineStr">
        <is>
          <t>AI审查及内容展示</t>
        </is>
      </c>
      <c r="F8" s="61">
        <f>$F$2*H8/$H$2</f>
        <v/>
      </c>
      <c r="G8" s="61">
        <f>$G$2*H8/$H$2</f>
        <v/>
      </c>
      <c r="H8" s="13" t="n">
        <v>6</v>
      </c>
      <c r="I8" s="61">
        <f>$I$2*H8/$H$2</f>
        <v/>
      </c>
      <c r="J8" s="61">
        <f>$J$2*H8/$H$2</f>
        <v/>
      </c>
      <c r="K8" s="61">
        <f>SUM(F8:J8)</f>
        <v/>
      </c>
      <c r="L8" s="23" t="n"/>
    </row>
    <row r="9" s="47">
      <c r="A9" s="8" t="n">
        <v>40</v>
      </c>
      <c r="B9" s="17" t="inlineStr">
        <is>
          <t>小计：人天</t>
        </is>
      </c>
      <c r="C9" s="48" t="n"/>
      <c r="D9" s="48" t="n"/>
      <c r="E9" s="49" t="n"/>
      <c r="F9" s="61">
        <f>SUM(F3:F8)</f>
        <v/>
      </c>
      <c r="G9" s="61">
        <f>SUM(G3:G8)</f>
        <v/>
      </c>
      <c r="H9" s="61">
        <f>SUM(H3:H8)</f>
        <v/>
      </c>
      <c r="I9" s="61">
        <f>SUM(I3:I8)</f>
        <v/>
      </c>
      <c r="J9" s="61">
        <f>SUM(J3:J8)</f>
        <v/>
      </c>
      <c r="K9" s="61">
        <f>SUM(K3:K8)</f>
        <v/>
      </c>
      <c r="L9" s="23" t="n"/>
    </row>
    <row r="10" ht="16.2" customHeight="1" s="47">
      <c r="A10" s="8" t="n">
        <v>41</v>
      </c>
      <c r="B10" s="18" t="inlineStr">
        <is>
          <t>小计：人月</t>
        </is>
      </c>
      <c r="C10" s="48" t="n"/>
      <c r="D10" s="48" t="n"/>
      <c r="E10" s="49" t="n"/>
      <c r="F10" s="61">
        <f>F9/21.75</f>
        <v/>
      </c>
      <c r="G10" s="61">
        <f>G9/21.75</f>
        <v/>
      </c>
      <c r="H10" s="61">
        <f>H9/21.75</f>
        <v/>
      </c>
      <c r="I10" s="61">
        <f>I9/21.75</f>
        <v/>
      </c>
      <c r="J10" s="61">
        <f>J9/21.75</f>
        <v/>
      </c>
      <c r="K10" s="65">
        <f>K9/21.75</f>
        <v/>
      </c>
      <c r="L10" s="23" t="n"/>
    </row>
  </sheetData>
  <mergeCells count="8">
    <mergeCell ref="B9:E9"/>
    <mergeCell ref="C3:C8"/>
    <mergeCell ref="B3:B8"/>
    <mergeCell ref="B1:E2"/>
    <mergeCell ref="B10:E10"/>
    <mergeCell ref="L1:L2"/>
    <mergeCell ref="D6:D8"/>
    <mergeCell ref="A1:A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DingTalk</dc:creator>
  <dcterms:created xmlns:dcterms="http://purl.org/dc/terms/" xmlns:xsi="http://www.w3.org/2001/XMLSchema-instance" xsi:type="dcterms:W3CDTF">2006-09-16T00:00:00Z</dcterms:created>
  <dcterms:modified xmlns:dcterms="http://purl.org/dc/terms/" xmlns:xsi="http://www.w3.org/2001/XMLSchema-instance" xsi:type="dcterms:W3CDTF">2026-08-13T06:32:26Z</dcterms:modified>
  <cp:lastModifiedBy>P647363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0E8C850F529C49828DEA16ECF40E1B1F</vt:lpwstr>
  </property>
  <property name="KSOProductBuildVer" fmtid="{D5CDD505-2E9C-101B-9397-08002B2CF9AE}" pid="3">
    <vt:lpwstr xmlns:vt="http://schemas.openxmlformats.org/officeDocument/2006/docPropsVTypes">2052-11.8.2.12309</vt:lpwstr>
  </property>
</Properties>
</file>