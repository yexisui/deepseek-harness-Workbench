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675" activeTab="1"/>
  </bookViews>
  <sheets>
    <sheet name="1.总费用" sheetId="1" r:id="rId1"/>
    <sheet name="2.工作量估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<sst xmlns="http://schemas.openxmlformats.org/spreadsheetml/2006/main" count="160" uniqueCount="124">
  <si>
    <t>宁德核电公司文档管理系统AI能力建设项目-工作量评估</t>
  </si>
  <si>
    <t>序号</t>
  </si>
  <si>
    <t>工作项</t>
  </si>
  <si>
    <t>工作内容</t>
  </si>
  <si>
    <t>数量</t>
  </si>
  <si>
    <t>单位</t>
  </si>
  <si>
    <t>单价（元）</t>
  </si>
  <si>
    <t>合计（元）</t>
  </si>
  <si>
    <t>需求分析</t>
  </si>
  <si>
    <t>对系统的需求变更进行需求分析及影响评估，制定需求实现方案。</t>
  </si>
  <si>
    <t>人月</t>
  </si>
  <si>
    <t>系统设计</t>
  </si>
  <si>
    <t>系统编码</t>
  </si>
  <si>
    <t>编码实现。</t>
  </si>
  <si>
    <t>系统测试</t>
  </si>
  <si>
    <t>对修改结果进行测试验证以及发布前准备。</t>
  </si>
  <si>
    <t>项目管理</t>
  </si>
  <si>
    <t>负责系统的投产发布环节和投产后的确认等工作，参与系统投产的填单及协调管理工作。</t>
  </si>
  <si>
    <t>合计：</t>
  </si>
  <si>
    <t>合并成本：</t>
  </si>
  <si>
    <t>利润率：</t>
  </si>
  <si>
    <t>模块</t>
  </si>
  <si>
    <t>功能</t>
  </si>
  <si>
    <t>功能内容</t>
  </si>
  <si>
    <t>需求人天</t>
  </si>
  <si>
    <t>设计人天</t>
  </si>
  <si>
    <t>编码人天</t>
  </si>
  <si>
    <t>测试人天</t>
  </si>
  <si>
    <t>管理人天</t>
  </si>
  <si>
    <t>合计</t>
  </si>
  <si>
    <t>真实编码人天</t>
  </si>
  <si>
    <t>备注</t>
  </si>
  <si>
    <t>总计</t>
  </si>
  <si>
    <t>知识智能体平台基础能力</t>
  </si>
  <si>
    <t>智能工作台</t>
  </si>
  <si>
    <t>提供应用入口、会话管理、应用检索、历史记录查看等能力，支持用户进入智能审核、文档问答、文件搜索等应用。</t>
  </si>
  <si>
    <t>应用管理</t>
  </si>
  <si>
    <t>支持创建、复制、调试、发布、下线智能体应用，支持版本管理和应用标签管理。</t>
  </si>
  <si>
    <t>工作流编排</t>
  </si>
  <si>
    <t>支持输入、输出、大模型、知识库检索、文档拆解、参数收集、条件分支、重排序、接口调用等节点编排。</t>
  </si>
  <si>
    <t>模型管理</t>
  </si>
  <si>
    <t>支持大语言模型、嵌入模型、重排序模型、多模态模型等统一接入、配置、启停和调用。</t>
  </si>
  <si>
    <t>知识库管理</t>
  </si>
  <si>
    <t>支持文档库、FAQ库的创建、上传、解析、检索和权限控制，支持审批规则、制度文件、模板说明等知识维护。</t>
  </si>
  <si>
    <t>文档解析</t>
  </si>
  <si>
    <t>支持Word、PDF、PPT、Excel、图片等常见格式解析，具备OCR识别、版面分析、段落拆解、表格抽取、字段抽取等能力。</t>
  </si>
  <si>
    <t>工具接口</t>
  </si>
  <si>
    <t>支持通过标准接口方式配置外部工具和业务服务，完成表单数据读取、附件解析、结果回写、日志记录等集成。</t>
  </si>
  <si>
    <t>权限与审计</t>
  </si>
  <si>
    <t>支持组织、角色、资源、数据权限配置，支持调用日志、操作日志、反馈日志和异常日志留痕。</t>
  </si>
  <si>
    <t>运营管理</t>
  </si>
  <si>
    <t>支持模板、提示词、规则、样本、反馈数据、效果评估指标的运营维护。</t>
  </si>
  <si>
    <t>智能审核应用能力</t>
  </si>
  <si>
    <t>审核模板配置</t>
  </si>
  <si>
    <t>按不同审批流程配置摘要模板、字段映射规则和审核关注点文案，模板明确需读取的字段信息，保证生成内容稳定可控。</t>
  </si>
  <si>
    <t>表单信息抽取</t>
  </si>
  <si>
    <t>审批人进入页面后，结合模板要求读取审批表单、文件/档案清单、附件内容及流程日志等对应信息。</t>
  </si>
  <si>
    <t>智能审核生成</t>
  </si>
  <si>
    <t>基于模板生成"一句话摘要+审核关注点+关键信息"，关键信息抽取准确率不低于85%。</t>
  </si>
  <si>
    <t>审核展示与人工确认</t>
  </si>
  <si>
    <t>智能审核结果在审批页面以独立面板或嵌入式区域展示，审批人可结合原始材料进行审批确认、修改、驳回或补充说明。</t>
  </si>
  <si>
    <t>反馈优化</t>
  </si>
  <si>
    <t>记录查看、采纳、修改、忽略、驳回等反馈数据，用于后续模板、规则、字段映射、提示词和模型效果优化。</t>
  </si>
  <si>
    <t>审批项目审核规则</t>
  </si>
  <si>
    <t>内部会议纪要审核</t>
  </si>
  <si>
    <t>校验与会人与基本信息及正文一致性、正文行动项（内容、责任人、完成期限）完整性、完成期限与会议时间冲突、与会人与分发设置一致性。</t>
  </si>
  <si>
    <t>外部会议纪要审核</t>
  </si>
  <si>
    <t>校验各节点处理人是否包含宁德公司之外人员，其余规则继承内部会议纪要。</t>
  </si>
  <si>
    <t>报告审核</t>
  </si>
  <si>
    <t>标题年度与基本信息年度一致性判断；标题含节日名称时检查正文一致性；正文章节号顺序检查；正文章节目录收录检查。</t>
  </si>
  <si>
    <t>发函审核</t>
  </si>
  <si>
    <t>回函编码中发文单位编码与发函编码中收文单位编码核对；正文附件名称与实际上传附件名称一致性判断；回函日期不能早于批准日期。</t>
  </si>
  <si>
    <t>事故规程审核</t>
  </si>
  <si>
    <t>直接上传PDF主件在线审批，用户上传PDF时自动提取编码、标题、页数、版本填充至基本信息对应字段（智能著录），审批后把审批人花签插入PDF。</t>
  </si>
  <si>
    <t>技术支持程序审核</t>
  </si>
  <si>
    <t>涉及相关设备、相关工具、相关备件、相关区域、反馈单等信息的读取与校验（本期暂无专项审核规则）。</t>
  </si>
  <si>
    <t>采购技术规范书审核</t>
  </si>
  <si>
    <t>编写环节目录完整性检查；正文是否包含所有目录对应内容；正文章节与最新模板对比，不一致提醒。</t>
  </si>
  <si>
    <t>系统功能授权申请审核</t>
  </si>
  <si>
    <t>附件必须上传保密承诺书检查；申请期限超过5年提醒。</t>
  </si>
  <si>
    <t>技术文件审核</t>
  </si>
  <si>
    <t>独立编码检查；电子文件命名与文件内容中名称一致性；临时文件生效章与制作章项目编号一致性；正式文件升版文件编码与上传电子文件编码一致性。</t>
  </si>
  <si>
    <t>文档智能服务能力</t>
  </si>
  <si>
    <t>智能著录</t>
  </si>
  <si>
    <t>上传或生成文档后自动识别关键字段并回填固定表单字段；支持OCR、版面分析、字段抽取、数据校验、人工确认/修正和著录入库。</t>
  </si>
  <si>
    <t>智能分发</t>
  </si>
  <si>
    <t>基于分发规则库和文档标题、关键词、摘要、事项描述等信息，辅助生成主送、抄送、协调员、分管领导等建议，支持权限与重复校验。</t>
  </si>
  <si>
    <t>智能推荐</t>
  </si>
  <si>
    <t>权限可控前提下，结合用户画像、行为日志、文档画像和反馈结果，推荐相关文档或知识内容，持续优化推荐策略。</t>
  </si>
  <si>
    <t>多模态智能体</t>
  </si>
  <si>
    <t>提供统一智能入口，支持流程发起指引、待办/待阅/已阅跳转、文件搜索等文本交互能力（本期以文字交互为主）。</t>
  </si>
  <si>
    <t>文件搜索</t>
  </si>
  <si>
    <t>支持按标题、发起人、部门、类型、正文片段等条件检索，调用语义检索并在文档管理系统页面展示结果，严格过滤无权限文档。</t>
  </si>
  <si>
    <t>智能代理流程</t>
  </si>
  <si>
    <t>代理需求识别</t>
  </si>
  <si>
    <t>审批人通过智能体入口输入代理审批自然语言指令，系统识别并抽取代理人、时间区间等关键信息，信息缺失时追问补全。</t>
  </si>
  <si>
    <t>代理人信息校验</t>
  </si>
  <si>
    <t>结合意图识别与实体抽取结果在人员主数据中检索代理人；姓名唯一进入配置确认，不唯一时展示姓名、部门、工号供确认。</t>
  </si>
  <si>
    <t>代理配置确认与执行</t>
  </si>
  <si>
    <t>展示并确认代理时间范围和代理范围后调用审批配置接口，在原审批人之外新增代理审批人，两者具备同等审批权限。</t>
  </si>
  <si>
    <t>日志留痕与边界控制</t>
  </si>
  <si>
    <t>记录配置发起人、代理人、代理范围、生效/失效时间、确认记录、接口调用结果和操作日志；代理时间非空、不得冲突、超期自动失效，异常情况阻止写入。</t>
  </si>
  <si>
    <t>系统集成与反馈优化</t>
  </si>
  <si>
    <t>表单数据读取接口</t>
  </si>
  <si>
    <t>读取审批页面申请表单、流程节点、申请人、申请部门、申请时间、审批状态等结构化信息。</t>
  </si>
  <si>
    <t>文件与档案清单读取接口</t>
  </si>
  <si>
    <t>读取文件列表、档案列表、相关文件、附件列表、文件名称、数量、类型、版本等信息。</t>
  </si>
  <si>
    <t>附件解析服务接口</t>
  </si>
  <si>
    <t>对Word、PDF、图片等附件调用正文解析、OCR识别、摘要生成和关键词抽取能力。</t>
  </si>
  <si>
    <t>智能审核结果回写接口</t>
  </si>
  <si>
    <t>将摘要、关注点、关键信息、生成时间、版本、来源字段等结果回写或展示到审批页面。</t>
  </si>
  <si>
    <t>权限校验集成</t>
  </si>
  <si>
    <t>所有搜索、推荐、读取、展示和回写均经过文档管理系统权限校验，确保无权限流程、页面和文档不展示。</t>
  </si>
  <si>
    <t>日志与反馈接口</t>
  </si>
  <si>
    <t>记录调用日志、展示日志、审批人反馈、代理配置确认记录、异常日志和效果评估数据，满足审计与持续优化要求。</t>
  </si>
  <si>
    <t>模型服务调用</t>
  </si>
  <si>
    <t>大语言模型、嵌入模型、重排序模型、多模态模型的可配置调用，模型调用参数可审计、可追溯。</t>
  </si>
  <si>
    <t>审批代理配置接口</t>
  </si>
  <si>
    <t>调用审批配置接口写入代理审批配置，接口执行前完成人员唯一性、时间有效性、配置冲突和流程状态校验。</t>
  </si>
  <si>
    <t>集团公共服务集成</t>
  </si>
  <si>
    <t>接入4A认证、UAU统一授权、MDM主数据、统一任务中心（AUE）、邮件系统提醒、ESB、中台微服务等集团通用接口。</t>
  </si>
  <si>
    <t>部署与环境实施</t>
  </si>
  <si>
    <t>高可用环境搭建</t>
  </si>
  <si>
    <t>测试、预生产、生产环境安装配置Nginx负载均衡、Tomcat、JDK、达梦数据库，部署知识智能体平台与应用服务，实施服务器防火墙策略。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</si>
</sst>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);[Red]\(#,##0.00\)"/>
    <numFmt numFmtId="178" formatCode="0.00_ "/>
  </numFmts>
  <fonts count="37">
    <font>
      <sz val="12"/>
      <color theme="1"/>
      <name val="等线"/>
      <charset val="134"/>
      <scheme val="minor"/>
    </font>
    <font>
      <sz val="10"/>
      <color rgb="FF000000"/>
      <name val="宋体"/>
      <charset val="134"/>
    </font>
    <font>
      <sz val="12"/>
      <color rgb="FF000000"/>
      <name val="等线"/>
      <charset val="134"/>
    </font>
    <font>
      <b/>
      <sz val="10"/>
      <color rgb="FF000000"/>
      <name val="宋体"/>
      <charset val="134"/>
    </font>
    <font>
      <b/>
      <sz val="11"/>
      <color rgb="FF000000"/>
      <name val="宋体"/>
      <charset val="134"/>
    </font>
    <font>
      <b/>
      <sz val="10"/>
      <color rgb="FF000000"/>
      <name val="等线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sz val="10"/>
      <color rgb="FFFF0000"/>
      <name val="宋体"/>
      <charset val="134"/>
    </font>
    <font>
      <b/>
      <sz val="10"/>
      <color rgb="FFFF0000"/>
      <name val="等线"/>
      <charset val="134"/>
    </font>
    <font>
      <sz val="11"/>
      <color rgb="FF000000"/>
      <name val="等线"/>
      <charset val="134"/>
    </font>
    <font>
      <b/>
      <sz val="14"/>
      <color rgb="FF000000"/>
      <name val="微软雅黑"/>
      <charset val="134"/>
    </font>
    <font>
      <sz val="10"/>
      <name val="等线"/>
      <charset val="134"/>
      <scheme val="minor"/>
    </font>
    <font>
      <b/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7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8" borderId="10" applyNumberFormat="0" applyAlignment="0" applyProtection="0">
      <alignment vertical="center"/>
    </xf>
    <xf numFmtId="0" fontId="27" fillId="5" borderId="11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vertical="center" wrapText="1"/>
    </xf>
    <xf numFmtId="9" fontId="4" fillId="2" borderId="1" xfId="0" applyNumberFormat="1" applyFont="1" applyFill="1" applyBorder="1" applyAlignment="1" applyProtection="1">
      <alignment horizontal="center" vertical="center" wrapText="1"/>
    </xf>
    <xf numFmtId="9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vertical="center" wrapText="1"/>
    </xf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</xf>
    <xf numFmtId="0" fontId="7" fillId="0" borderId="3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 applyProtection="1">
      <alignment horizontal="left" vertical="center" wrapText="1"/>
    </xf>
    <xf numFmtId="0" fontId="8" fillId="4" borderId="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vertical="center" wrapText="1"/>
    </xf>
    <xf numFmtId="0" fontId="9" fillId="0" borderId="1" xfId="0" applyFont="1" applyBorder="1" applyAlignment="1" applyProtection="1">
      <alignment vertical="center" wrapText="1"/>
    </xf>
    <xf numFmtId="0" fontId="10" fillId="0" borderId="1" xfId="0" applyFont="1" applyBorder="1" applyAlignment="1">
      <alignment wrapText="1"/>
    </xf>
    <xf numFmtId="49" fontId="3" fillId="2" borderId="1" xfId="0" applyNumberFormat="1" applyFont="1" applyFill="1" applyBorder="1" applyAlignment="1" applyProtection="1">
      <alignment horizontal="center" vertical="center" wrapText="1"/>
    </xf>
    <xf numFmtId="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</xf>
    <xf numFmtId="0" fontId="8" fillId="0" borderId="1" xfId="0" applyFont="1" applyFill="1" applyBorder="1" applyAlignment="1" applyProtection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 wrapText="1"/>
    </xf>
    <xf numFmtId="0" fontId="13" fillId="0" borderId="0" xfId="0" applyFont="1">
      <alignment vertical="center"/>
    </xf>
    <xf numFmtId="0" fontId="14" fillId="0" borderId="5" xfId="0" applyFont="1" applyBorder="1" applyAlignment="1" applyProtection="1">
      <alignment horizontal="center" vertical="center"/>
    </xf>
    <xf numFmtId="0" fontId="6" fillId="5" borderId="6" xfId="0" applyFont="1" applyFill="1" applyBorder="1" applyAlignment="1" applyProtection="1">
      <alignment horizontal="center" vertical="center" wrapText="1"/>
    </xf>
    <xf numFmtId="177" fontId="6" fillId="5" borderId="6" xfId="0" applyNumberFormat="1" applyFont="1" applyFill="1" applyBorder="1" applyAlignment="1" applyProtection="1">
      <alignment horizontal="center" vertical="center" wrapText="1"/>
    </xf>
    <xf numFmtId="176" fontId="7" fillId="0" borderId="1" xfId="0" applyNumberFormat="1" applyFont="1" applyBorder="1" applyAlignment="1" applyProtection="1">
      <alignment horizontal="left" vertical="center" wrapText="1"/>
    </xf>
    <xf numFmtId="177" fontId="7" fillId="0" borderId="1" xfId="0" applyNumberFormat="1" applyFont="1" applyBorder="1" applyAlignment="1" applyProtection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right" vertical="center"/>
    </xf>
    <xf numFmtId="178" fontId="6" fillId="0" borderId="1" xfId="0" applyNumberFormat="1" applyFont="1" applyBorder="1" applyAlignment="1" applyProtection="1">
      <alignment horizontal="center" vertical="center"/>
    </xf>
    <xf numFmtId="177" fontId="6" fillId="0" borderId="1" xfId="0" applyNumberFormat="1" applyFont="1" applyBorder="1" applyAlignment="1" applyProtection="1">
      <alignment horizontal="center" vertical="center"/>
    </xf>
    <xf numFmtId="10" fontId="16" fillId="6" borderId="1" xfId="0" applyNumberFormat="1" applyFont="1" applyFill="1" applyBorder="1" applyAlignment="1">
      <alignment horizontal="center" vertical="center"/>
    </xf>
    <xf numFmtId="178" fontId="1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3"/>
  <sheetViews>
    <sheetView workbookViewId="0">
      <selection activeCell="D10" sqref="D10:G10"/>
    </sheetView>
  </sheetViews>
  <sheetFormatPr defaultColWidth="9" defaultRowHeight="14" customHeight="1" outlineLevelCol="6"/>
  <cols>
    <col min="1" max="1" width="3.8671875" style="33" customWidth="1"/>
    <col min="2" max="2" width="20.1640625" style="33" customWidth="1"/>
    <col min="3" max="3" width="49.171875" style="33" customWidth="1"/>
    <col min="4" max="5" width="9" style="33"/>
    <col min="6" max="6" width="9.2109375" style="33"/>
    <col min="7" max="7" width="12.640625" style="33" customWidth="1"/>
    <col min="8" max="38" width="9" style="33"/>
  </cols>
  <sheetData>
    <row r="1" ht="27" customHeight="1" spans="1:7">
      <c r="A1" s="34" t="s">
        <v>0</v>
      </c>
      <c r="B1" s="34"/>
      <c r="C1" s="34"/>
      <c r="D1" s="34"/>
      <c r="E1" s="34"/>
      <c r="F1" s="34"/>
      <c r="G1" s="34"/>
    </row>
    <row r="2" ht="21.75" customHeight="1" spans="1:7">
      <c r="A2" s="35" t="s">
        <v>1</v>
      </c>
      <c r="B2" s="35" t="s">
        <v>2</v>
      </c>
      <c r="C2" s="35" t="s">
        <v>3</v>
      </c>
      <c r="D2" s="36" t="s">
        <v>4</v>
      </c>
      <c r="E2" s="35" t="s">
        <v>5</v>
      </c>
      <c r="F2" s="36" t="s">
        <v>6</v>
      </c>
      <c r="G2" s="36" t="s">
        <v>7</v>
      </c>
    </row>
    <row r="3" customHeight="1" spans="1:7">
      <c r="A3" s="13">
        <v>1</v>
      </c>
      <c r="B3" s="37" t="s">
        <v>8</v>
      </c>
      <c r="C3" s="37" t="s">
        <v>9</v>
      </c>
      <c r="D3" s="38">
        <f>'2.工作量估算'!E46</f>
        <v>15.04643678</v>
      </c>
      <c r="E3" s="38" t="s">
        <v>10</v>
      </c>
      <c r="F3" s="39">
        <v>20000</v>
      </c>
      <c r="G3" s="40">
        <f>D3*F3</f>
        <v>300928.74</v>
      </c>
    </row>
    <row r="4" customHeight="1" spans="1:7">
      <c r="A4" s="13">
        <v>2</v>
      </c>
      <c r="B4" s="37" t="s">
        <v>11</v>
      </c>
      <c r="C4" s="37" t="s">
        <v>11</v>
      </c>
      <c r="D4" s="38">
        <f>'2.工作量估算'!F46</f>
        <v>11.28505747</v>
      </c>
      <c r="E4" s="38" t="s">
        <v>10</v>
      </c>
      <c r="F4" s="39">
        <v>20000</v>
      </c>
      <c r="G4" s="40">
        <f>D4*F4</f>
        <v>225701.15</v>
      </c>
    </row>
    <row r="5" customHeight="1" spans="1:7">
      <c r="A5" s="13">
        <v>3</v>
      </c>
      <c r="B5" s="37" t="s">
        <v>12</v>
      </c>
      <c r="C5" s="37" t="s">
        <v>13</v>
      </c>
      <c r="D5" s="38">
        <f>'2.工作量估算'!G46</f>
        <v>30.09333333</v>
      </c>
      <c r="E5" s="38" t="s">
        <v>10</v>
      </c>
      <c r="F5" s="39">
        <v>20000</v>
      </c>
      <c r="G5" s="40">
        <f>D5*F5</f>
        <v>601866.67</v>
      </c>
    </row>
    <row r="6" customHeight="1" spans="1:7">
      <c r="A6" s="13">
        <v>4</v>
      </c>
      <c r="B6" s="37" t="s">
        <v>14</v>
      </c>
      <c r="C6" s="37" t="s">
        <v>15</v>
      </c>
      <c r="D6" s="38">
        <f>'2.工作量估算'!H46</f>
        <v>11.28505747</v>
      </c>
      <c r="E6" s="38" t="s">
        <v>10</v>
      </c>
      <c r="F6" s="39">
        <v>20000</v>
      </c>
      <c r="G6" s="40">
        <f>D6*F6</f>
        <v>225701.15</v>
      </c>
    </row>
    <row r="7" customHeight="1" spans="1:7">
      <c r="A7" s="13">
        <v>5</v>
      </c>
      <c r="B7" s="37" t="s">
        <v>16</v>
      </c>
      <c r="C7" s="37" t="s">
        <v>17</v>
      </c>
      <c r="D7" s="38">
        <f>'2.工作量估算'!I46</f>
        <v>7.52321839</v>
      </c>
      <c r="E7" s="38" t="s">
        <v>10</v>
      </c>
      <c r="F7" s="39">
        <v>20000</v>
      </c>
      <c r="G7" s="40">
        <f>D7*F7</f>
        <v>150464.37</v>
      </c>
    </row>
    <row r="8" customHeight="1" spans="1:7">
      <c r="A8" s="41" t="s">
        <v>18</v>
      </c>
      <c r="B8" s="41"/>
      <c r="C8" s="41"/>
      <c r="D8" s="42">
        <f>SUM(D3:D7)</f>
        <v>75.23310345</v>
      </c>
      <c r="E8" s="38" t="s">
        <v>10</v>
      </c>
      <c r="F8" s="38"/>
      <c r="G8" s="43">
        <f>SUM(G3:G7)</f>
        <v>1504662.06896552</v>
      </c>
    </row>
    <row r="9" customHeight="1" spans="1:7">
      <c r="A9" s="41" t="s">
        <v>19</v>
      </c>
      <c r="B9" s="41"/>
      <c r="C9" s="41"/>
      <c r="D9" s="42">
        <v>41.38</v>
      </c>
      <c r="E9" s="38" t="s">
        <v>10</v>
      </c>
      <c r="F9" s="39">
        <v>20000</v>
      </c>
      <c r="G9" s="43">
        <f>D9*F9</f>
        <v>827600</v>
      </c>
    </row>
    <row r="10" customHeight="1" spans="1:7">
      <c r="A10" s="41" t="s">
        <v>20</v>
      </c>
      <c r="B10" s="41"/>
      <c r="C10" s="41"/>
      <c r="D10" s="44">
        <f>(G8-G9)/G8</f>
        <v>0.44997617</v>
      </c>
      <c r="E10" s="44"/>
      <c r="F10" s="44"/>
      <c r="G10" s="44"/>
    </row>
    <row r="13" customHeight="1" spans="2:2">
      <c r="B13" s="45"/>
    </row>
  </sheetData>
  <mergeCells count="5">
    <mergeCell ref="A1:G1"/>
    <mergeCell ref="A8:C8"/>
    <mergeCell ref="A9:C9"/>
    <mergeCell ref="A10:C10"/>
    <mergeCell ref="D10:G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46"/>
  <sheetViews>
    <sheetView tabSelected="1" topLeftCell="D1" workbookViewId="0">
      <selection activeCell="K4" sqref="K4"/>
    </sheetView>
  </sheetViews>
  <sheetFormatPr defaultColWidth="9" defaultRowHeight="24" customHeight="1"/>
  <cols>
    <col min="1" max="1" width="5" style="1" customWidth="1"/>
    <col min="2" max="2" width="10" style="1" customWidth="1"/>
    <col min="3" max="3" width="18.578125" style="2" customWidth="1"/>
    <col min="4" max="4" width="75.5" style="1" customWidth="1"/>
    <col min="5" max="6" width="7.328125" style="3" customWidth="1"/>
    <col min="7" max="7" width="8.1640625" style="1" customWidth="1"/>
    <col min="8" max="8" width="7.328125" style="1" customWidth="1"/>
    <col min="9" max="9" width="8.1640625" style="1" customWidth="1"/>
    <col min="10" max="10" width="7.859375" style="1" customWidth="1"/>
    <col min="11" max="11" width="11.078125" style="1" customWidth="1"/>
    <col min="12" max="12" width="36.6640625" style="3" customWidth="1"/>
    <col min="13" max="35" width="9" style="1"/>
    <col min="36" max="36" width="9" style="4"/>
  </cols>
  <sheetData>
    <row r="1" ht="15.75" customHeight="1" spans="1:12">
      <c r="A1" s="5" t="s">
        <v>1</v>
      </c>
      <c r="B1" s="5" t="s">
        <v>21</v>
      </c>
      <c r="C1" s="5" t="s">
        <v>22</v>
      </c>
      <c r="D1" s="5" t="s">
        <v>23</v>
      </c>
      <c r="E1" s="6" t="s">
        <v>24</v>
      </c>
      <c r="F1" s="6" t="s">
        <v>25</v>
      </c>
      <c r="G1" s="7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26" t="s">
        <v>31</v>
      </c>
    </row>
    <row r="2" ht="15.75" customHeight="1" spans="1:12">
      <c r="A2" s="8"/>
      <c r="B2" s="5"/>
      <c r="C2" s="5"/>
      <c r="D2" s="5"/>
      <c r="E2" s="9">
        <v>0.2</v>
      </c>
      <c r="F2" s="9">
        <v>0.15</v>
      </c>
      <c r="G2" s="10">
        <v>0.4</v>
      </c>
      <c r="H2" s="9">
        <v>0.15</v>
      </c>
      <c r="I2" s="27">
        <v>0.1</v>
      </c>
      <c r="J2" s="27">
        <f>SUM(E2:I2)</f>
        <v>1</v>
      </c>
      <c r="K2" s="27"/>
      <c r="L2" s="8"/>
    </row>
    <row r="3" customHeight="1" spans="1:12">
      <c r="A3" s="11">
        <f>ROW()-2</f>
        <v>1</v>
      </c>
      <c r="B3" s="12" t="s">
        <v>33</v>
      </c>
      <c r="C3" s="13" t="s">
        <v>34</v>
      </c>
      <c r="D3" s="14" t="s">
        <v>35</v>
      </c>
      <c r="E3" s="15">
        <f>$E$2*G3/$G$2</f>
        <v>9.09</v>
      </c>
      <c r="F3" s="15">
        <f>$F$2*G3/$G$2</f>
        <v>6.82</v>
      </c>
      <c r="G3" s="16">
        <v>18.18</v>
      </c>
      <c r="H3" s="15">
        <f>$H$2*G3/$G$2</f>
        <v>6.82</v>
      </c>
      <c r="I3" s="15">
        <f>$I$2*G3/$G$2</f>
        <v>4.54</v>
      </c>
      <c r="J3" s="15">
        <f>SUM(E3:I3)</f>
        <v>45.45</v>
      </c>
      <c r="K3" s="15">
        <v>10</v>
      </c>
      <c r="L3" s="14"/>
    </row>
    <row r="4" customHeight="1" spans="1:12">
      <c r="A4" s="11">
        <f>ROW()-2</f>
        <v>2</v>
      </c>
      <c r="B4" s="17"/>
      <c r="C4" s="13" t="s">
        <v>36</v>
      </c>
      <c r="D4" s="14" t="s">
        <v>37</v>
      </c>
      <c r="E4" s="15">
        <f>$E$2*G4/$G$2</f>
        <v>7.28</v>
      </c>
      <c r="F4" s="15">
        <f>$F$2*G4/$G$2</f>
        <v>5.46</v>
      </c>
      <c r="G4" s="16">
        <v>14.55</v>
      </c>
      <c r="H4" s="15">
        <f>$H$2*G4/$G$2</f>
        <v>5.46</v>
      </c>
      <c r="I4" s="15">
        <f>$I$2*G4/$G$2</f>
        <v>3.64</v>
      </c>
      <c r="J4" s="15">
        <f>SUM(E4:I4)</f>
        <v>36.39</v>
      </c>
      <c r="K4" s="15">
        <v>8</v>
      </c>
      <c r="L4" s="14"/>
    </row>
    <row r="5" customHeight="1" spans="1:12">
      <c r="A5" s="11">
        <f>ROW()-2</f>
        <v>3</v>
      </c>
      <c r="B5" s="17"/>
      <c r="C5" s="13" t="s">
        <v>38</v>
      </c>
      <c r="D5" s="14" t="s">
        <v>39</v>
      </c>
      <c r="E5" s="15">
        <f>$E$2*G5/$G$2</f>
        <v>18.18</v>
      </c>
      <c r="F5" s="15">
        <f>$F$2*G5/$G$2</f>
        <v>13.64</v>
      </c>
      <c r="G5" s="16">
        <v>36.36</v>
      </c>
      <c r="H5" s="15">
        <f>$H$2*G5/$G$2</f>
        <v>13.64</v>
      </c>
      <c r="I5" s="15">
        <f>$I$2*G5/$G$2</f>
        <v>9.09</v>
      </c>
      <c r="J5" s="15">
        <f>SUM(E5:I5)</f>
        <v>90.91</v>
      </c>
      <c r="K5" s="15">
        <v>20</v>
      </c>
      <c r="L5" s="14"/>
    </row>
    <row r="6" customHeight="1" spans="1:12">
      <c r="A6" s="11">
        <f>ROW()-2</f>
        <v>4</v>
      </c>
      <c r="B6" s="17"/>
      <c r="C6" s="13" t="s">
        <v>40</v>
      </c>
      <c r="D6" s="14" t="s">
        <v>41</v>
      </c>
      <c r="E6" s="15">
        <f>$E$2*G6/$G$2</f>
        <v>7.28</v>
      </c>
      <c r="F6" s="15">
        <f>$F$2*G6/$G$2</f>
        <v>5.46</v>
      </c>
      <c r="G6" s="16">
        <v>14.55</v>
      </c>
      <c r="H6" s="15">
        <f>$H$2*G6/$G$2</f>
        <v>5.46</v>
      </c>
      <c r="I6" s="15">
        <f>$I$2*G6/$G$2</f>
        <v>3.64</v>
      </c>
      <c r="J6" s="15">
        <f>SUM(E6:I6)</f>
        <v>36.39</v>
      </c>
      <c r="K6" s="15">
        <v>8</v>
      </c>
      <c r="L6" s="14"/>
    </row>
    <row r="7" customHeight="1" spans="1:12">
      <c r="A7" s="11">
        <f>ROW()-2</f>
        <v>5</v>
      </c>
      <c r="B7" s="17"/>
      <c r="C7" s="13" t="s">
        <v>42</v>
      </c>
      <c r="D7" s="14" t="s">
        <v>43</v>
      </c>
      <c r="E7" s="15">
        <f>$E$2*G7/$G$2</f>
        <v>13.64</v>
      </c>
      <c r="F7" s="15">
        <f>$F$2*G7/$G$2</f>
        <v>10.23</v>
      </c>
      <c r="G7" s="16">
        <v>27.27</v>
      </c>
      <c r="H7" s="15">
        <f>$H$2*G7/$G$2</f>
        <v>10.23</v>
      </c>
      <c r="I7" s="15">
        <f>$I$2*G7/$G$2</f>
        <v>6.82</v>
      </c>
      <c r="J7" s="15">
        <f>SUM(E7:I7)</f>
        <v>68.19</v>
      </c>
      <c r="K7" s="15">
        <v>15</v>
      </c>
      <c r="L7" s="14"/>
    </row>
    <row r="8" customHeight="1" spans="1:12">
      <c r="A8" s="11">
        <f>ROW()-2</f>
        <v>6</v>
      </c>
      <c r="B8" s="17"/>
      <c r="C8" s="13" t="s">
        <v>44</v>
      </c>
      <c r="D8" s="14" t="s">
        <v>45</v>
      </c>
      <c r="E8" s="15">
        <f>$E$2*G8/$G$2</f>
        <v>22.72</v>
      </c>
      <c r="F8" s="15">
        <f>$F$2*G8/$G$2</f>
        <v>17.04</v>
      </c>
      <c r="G8" s="16">
        <v>45.45</v>
      </c>
      <c r="H8" s="15">
        <f>$H$2*G8/$G$2</f>
        <v>17.04</v>
      </c>
      <c r="I8" s="15">
        <f>$I$2*G8/$G$2</f>
        <v>11.36</v>
      </c>
      <c r="J8" s="15">
        <f>SUM(E8:I8)</f>
        <v>113.61</v>
      </c>
      <c r="K8" s="15">
        <v>25</v>
      </c>
      <c r="L8" s="14"/>
    </row>
    <row r="9" customHeight="1" spans="1:12">
      <c r="A9" s="11">
        <f>ROW()-2</f>
        <v>7</v>
      </c>
      <c r="B9" s="17"/>
      <c r="C9" s="13" t="s">
        <v>46</v>
      </c>
      <c r="D9" s="14" t="s">
        <v>47</v>
      </c>
      <c r="E9" s="15">
        <f>$E$2*G9/$G$2</f>
        <v>9.09</v>
      </c>
      <c r="F9" s="15">
        <f>$F$2*G9/$G$2</f>
        <v>6.82</v>
      </c>
      <c r="G9" s="16">
        <v>18.18</v>
      </c>
      <c r="H9" s="15">
        <f>$H$2*G9/$G$2</f>
        <v>6.82</v>
      </c>
      <c r="I9" s="15">
        <f>$I$2*G9/$G$2</f>
        <v>4.54</v>
      </c>
      <c r="J9" s="15">
        <f>SUM(E9:I9)</f>
        <v>45.45</v>
      </c>
      <c r="K9" s="15">
        <v>10</v>
      </c>
      <c r="L9" s="14"/>
    </row>
    <row r="10" customHeight="1" spans="1:12">
      <c r="A10" s="11">
        <f>ROW()-2</f>
        <v>8</v>
      </c>
      <c r="B10" s="17"/>
      <c r="C10" s="13" t="s">
        <v>48</v>
      </c>
      <c r="D10" s="14" t="s">
        <v>49</v>
      </c>
      <c r="E10" s="15">
        <f>$E$2*G10/$G$2</f>
        <v>9.09</v>
      </c>
      <c r="F10" s="15">
        <f>$F$2*G10/$G$2</f>
        <v>6.82</v>
      </c>
      <c r="G10" s="16">
        <v>18.18</v>
      </c>
      <c r="H10" s="15">
        <f>$H$2*G10/$G$2</f>
        <v>6.82</v>
      </c>
      <c r="I10" s="15">
        <f>$I$2*G10/$G$2</f>
        <v>4.54</v>
      </c>
      <c r="J10" s="15">
        <f>SUM(E10:I10)</f>
        <v>45.45</v>
      </c>
      <c r="K10" s="15">
        <v>10</v>
      </c>
      <c r="L10" s="14"/>
    </row>
    <row r="11" customHeight="1" spans="1:12">
      <c r="A11" s="11">
        <f>ROW()-2</f>
        <v>9</v>
      </c>
      <c r="B11" s="17"/>
      <c r="C11" s="13" t="s">
        <v>50</v>
      </c>
      <c r="D11" s="14" t="s">
        <v>51</v>
      </c>
      <c r="E11" s="15">
        <f>$E$2*G11/$G$2</f>
        <v>7.28</v>
      </c>
      <c r="F11" s="15">
        <f>$F$2*G11/$G$2</f>
        <v>5.46</v>
      </c>
      <c r="G11" s="16">
        <v>14.55</v>
      </c>
      <c r="H11" s="15">
        <f>$H$2*G11/$G$2</f>
        <v>5.46</v>
      </c>
      <c r="I11" s="15">
        <f>$I$2*G11/$G$2</f>
        <v>3.64</v>
      </c>
      <c r="J11" s="15">
        <f>SUM(E11:I11)</f>
        <v>36.39</v>
      </c>
      <c r="K11" s="15">
        <v>8</v>
      </c>
      <c r="L11" s="14"/>
    </row>
    <row r="12" customHeight="1" spans="1:12">
      <c r="A12" s="11">
        <f>ROW()-2</f>
        <v>10</v>
      </c>
      <c r="B12" s="12" t="s">
        <v>52</v>
      </c>
      <c r="C12" s="13" t="s">
        <v>53</v>
      </c>
      <c r="D12" s="14" t="s">
        <v>54</v>
      </c>
      <c r="E12" s="15">
        <f>$E$2*G12/$G$2</f>
        <v>9.09</v>
      </c>
      <c r="F12" s="15">
        <f>$F$2*G12/$G$2</f>
        <v>6.82</v>
      </c>
      <c r="G12" s="16">
        <v>18.18</v>
      </c>
      <c r="H12" s="15">
        <f>$H$2*G12/$G$2</f>
        <v>6.82</v>
      </c>
      <c r="I12" s="15">
        <f>$I$2*G12/$G$2</f>
        <v>4.54</v>
      </c>
      <c r="J12" s="15">
        <f>SUM(E12:I12)</f>
        <v>45.45</v>
      </c>
      <c r="K12" s="15">
        <v>10</v>
      </c>
      <c r="L12" s="14"/>
    </row>
    <row r="13" customHeight="1" spans="1:12">
      <c r="A13" s="11">
        <f>ROW()-2</f>
        <v>11</v>
      </c>
      <c r="B13" s="17"/>
      <c r="C13" s="13" t="s">
        <v>55</v>
      </c>
      <c r="D13" s="14" t="s">
        <v>56</v>
      </c>
      <c r="E13" s="15">
        <f>$E$2*G13/$G$2</f>
        <v>7.28</v>
      </c>
      <c r="F13" s="15">
        <f>$F$2*G13/$G$2</f>
        <v>5.46</v>
      </c>
      <c r="G13" s="16">
        <v>14.55</v>
      </c>
      <c r="H13" s="15">
        <f>$H$2*G13/$G$2</f>
        <v>5.46</v>
      </c>
      <c r="I13" s="15">
        <f>$I$2*G13/$G$2</f>
        <v>3.64</v>
      </c>
      <c r="J13" s="15">
        <f>SUM(E13:I13)</f>
        <v>36.39</v>
      </c>
      <c r="K13" s="15">
        <v>8</v>
      </c>
      <c r="L13" s="14"/>
    </row>
    <row r="14" customHeight="1" spans="1:12">
      <c r="A14" s="11">
        <f>ROW()-2</f>
        <v>12</v>
      </c>
      <c r="B14" s="17"/>
      <c r="C14" s="13" t="s">
        <v>57</v>
      </c>
      <c r="D14" s="14" t="s">
        <v>58</v>
      </c>
      <c r="E14" s="15">
        <f>$E$2*G14/$G$2</f>
        <v>13.64</v>
      </c>
      <c r="F14" s="15">
        <f>$F$2*G14/$G$2</f>
        <v>10.23</v>
      </c>
      <c r="G14" s="16">
        <v>27.27</v>
      </c>
      <c r="H14" s="15">
        <f>$H$2*G14/$G$2</f>
        <v>10.23</v>
      </c>
      <c r="I14" s="15">
        <f>$I$2*G14/$G$2</f>
        <v>6.82</v>
      </c>
      <c r="J14" s="15">
        <f>SUM(E14:I14)</f>
        <v>68.19</v>
      </c>
      <c r="K14" s="15">
        <v>15</v>
      </c>
      <c r="L14" s="14"/>
    </row>
    <row r="15" customHeight="1" spans="1:12">
      <c r="A15" s="11">
        <f>ROW()-2</f>
        <v>13</v>
      </c>
      <c r="B15" s="17"/>
      <c r="C15" s="13" t="s">
        <v>59</v>
      </c>
      <c r="D15" s="14" t="s">
        <v>60</v>
      </c>
      <c r="E15" s="15">
        <f>$E$2*G15/$G$2</f>
        <v>10.91</v>
      </c>
      <c r="F15" s="15">
        <f>$F$2*G15/$G$2</f>
        <v>8.18</v>
      </c>
      <c r="G15" s="16">
        <v>21.82</v>
      </c>
      <c r="H15" s="15">
        <f>$H$2*G15/$G$2</f>
        <v>8.18</v>
      </c>
      <c r="I15" s="15">
        <f>$I$2*G15/$G$2</f>
        <v>5.46</v>
      </c>
      <c r="J15" s="15">
        <f>SUM(E15:I15)</f>
        <v>54.55</v>
      </c>
      <c r="K15" s="15">
        <v>12</v>
      </c>
      <c r="L15" s="14"/>
    </row>
    <row r="16" customHeight="1" spans="1:12">
      <c r="A16" s="11">
        <f>ROW()-2</f>
        <v>14</v>
      </c>
      <c r="B16" s="17"/>
      <c r="C16" s="13" t="s">
        <v>61</v>
      </c>
      <c r="D16" s="14" t="s">
        <v>62</v>
      </c>
      <c r="E16" s="15">
        <f>$E$2*G16/$G$2</f>
        <v>5.46</v>
      </c>
      <c r="F16" s="15">
        <f>$F$2*G16/$G$2</f>
        <v>4.09</v>
      </c>
      <c r="G16" s="16">
        <v>10.91</v>
      </c>
      <c r="H16" s="15">
        <f>$H$2*G16/$G$2</f>
        <v>4.09</v>
      </c>
      <c r="I16" s="15">
        <f>$I$2*G16/$G$2</f>
        <v>2.73</v>
      </c>
      <c r="J16" s="15">
        <f>SUM(E16:I16)</f>
        <v>27.28</v>
      </c>
      <c r="K16" s="15">
        <v>6</v>
      </c>
      <c r="L16" s="14"/>
    </row>
    <row r="17" customHeight="1" spans="1:12">
      <c r="A17" s="11">
        <f>ROW()-2</f>
        <v>15</v>
      </c>
      <c r="B17" s="12" t="s">
        <v>63</v>
      </c>
      <c r="C17" s="13" t="s">
        <v>64</v>
      </c>
      <c r="D17" s="14" t="s">
        <v>65</v>
      </c>
      <c r="E17" s="15">
        <f>$E$2*G17/$G$2</f>
        <v>5.46</v>
      </c>
      <c r="F17" s="15">
        <f>$F$2*G17/$G$2</f>
        <v>4.09</v>
      </c>
      <c r="G17" s="16">
        <v>10.91</v>
      </c>
      <c r="H17" s="15">
        <f>$H$2*G17/$G$2</f>
        <v>4.09</v>
      </c>
      <c r="I17" s="15">
        <f>$I$2*G17/$G$2</f>
        <v>2.73</v>
      </c>
      <c r="J17" s="15">
        <f>SUM(E17:I17)</f>
        <v>27.28</v>
      </c>
      <c r="K17" s="15">
        <v>6</v>
      </c>
      <c r="L17" s="14"/>
    </row>
    <row r="18" customHeight="1" spans="1:12">
      <c r="A18" s="11">
        <f>ROW()-2</f>
        <v>16</v>
      </c>
      <c r="B18" s="17"/>
      <c r="C18" s="13" t="s">
        <v>66</v>
      </c>
      <c r="D18" s="14" t="s">
        <v>67</v>
      </c>
      <c r="E18" s="15">
        <f>$E$2*G18/$G$2</f>
        <v>2.72</v>
      </c>
      <c r="F18" s="15">
        <f>$F$2*G18/$G$2</f>
        <v>2.04</v>
      </c>
      <c r="G18" s="16">
        <v>5.45</v>
      </c>
      <c r="H18" s="15">
        <f>$H$2*G18/$G$2</f>
        <v>2.04</v>
      </c>
      <c r="I18" s="15">
        <f>$I$2*G18/$G$2</f>
        <v>1.36</v>
      </c>
      <c r="J18" s="15">
        <f>SUM(E18:I18)</f>
        <v>13.61</v>
      </c>
      <c r="K18" s="15">
        <v>3</v>
      </c>
      <c r="L18" s="14"/>
    </row>
    <row r="19" customHeight="1" spans="1:12">
      <c r="A19" s="11">
        <f>ROW()-2</f>
        <v>17</v>
      </c>
      <c r="B19" s="17"/>
      <c r="C19" s="13" t="s">
        <v>68</v>
      </c>
      <c r="D19" s="14" t="s">
        <v>69</v>
      </c>
      <c r="E19" s="15">
        <f>$E$2*G19/$G$2</f>
        <v>7.28</v>
      </c>
      <c r="F19" s="15">
        <f>$F$2*G19/$G$2</f>
        <v>5.46</v>
      </c>
      <c r="G19" s="16">
        <v>14.55</v>
      </c>
      <c r="H19" s="15">
        <f>$H$2*G19/$G$2</f>
        <v>5.46</v>
      </c>
      <c r="I19" s="15">
        <f>$I$2*G19/$G$2</f>
        <v>3.64</v>
      </c>
      <c r="J19" s="15">
        <f>SUM(E19:I19)</f>
        <v>36.39</v>
      </c>
      <c r="K19" s="15">
        <v>8</v>
      </c>
      <c r="L19" s="14"/>
    </row>
    <row r="20" customHeight="1" spans="1:12">
      <c r="A20" s="11">
        <f>ROW()-2</f>
        <v>18</v>
      </c>
      <c r="B20" s="17"/>
      <c r="C20" s="13" t="s">
        <v>70</v>
      </c>
      <c r="D20" s="14" t="s">
        <v>71</v>
      </c>
      <c r="E20" s="15">
        <f>$E$2*G20/$G$2</f>
        <v>4.54</v>
      </c>
      <c r="F20" s="15">
        <f>$F$2*G20/$G$2</f>
        <v>3.41</v>
      </c>
      <c r="G20" s="16">
        <v>9.09</v>
      </c>
      <c r="H20" s="15">
        <f>$H$2*G20/$G$2</f>
        <v>3.41</v>
      </c>
      <c r="I20" s="15">
        <f>$I$2*G20/$G$2</f>
        <v>2.27</v>
      </c>
      <c r="J20" s="15">
        <f>SUM(E20:I20)</f>
        <v>22.72</v>
      </c>
      <c r="K20" s="15">
        <v>5</v>
      </c>
      <c r="L20" s="14"/>
    </row>
    <row r="21" customHeight="1" spans="1:12">
      <c r="A21" s="11">
        <f>ROW()-2</f>
        <v>19</v>
      </c>
      <c r="B21" s="17"/>
      <c r="C21" s="13" t="s">
        <v>72</v>
      </c>
      <c r="D21" s="14" t="s">
        <v>73</v>
      </c>
      <c r="E21" s="15">
        <f>$E$2*G21/$G$2</f>
        <v>9.09</v>
      </c>
      <c r="F21" s="15">
        <f>$F$2*G21/$G$2</f>
        <v>6.82</v>
      </c>
      <c r="G21" s="16">
        <v>18.18</v>
      </c>
      <c r="H21" s="15">
        <f>$H$2*G21/$G$2</f>
        <v>6.82</v>
      </c>
      <c r="I21" s="15">
        <f>$I$2*G21/$G$2</f>
        <v>4.54</v>
      </c>
      <c r="J21" s="15">
        <f>SUM(E21:I21)</f>
        <v>45.45</v>
      </c>
      <c r="K21" s="15">
        <v>10</v>
      </c>
      <c r="L21" s="14"/>
    </row>
    <row r="22" customHeight="1" spans="1:12">
      <c r="A22" s="11">
        <f>ROW()-2</f>
        <v>20</v>
      </c>
      <c r="B22" s="17"/>
      <c r="C22" s="13" t="s">
        <v>74</v>
      </c>
      <c r="D22" s="14" t="s">
        <v>75</v>
      </c>
      <c r="E22" s="15">
        <f>$E$2*G22/$G$2</f>
        <v>2.72</v>
      </c>
      <c r="F22" s="15">
        <f>$F$2*G22/$G$2</f>
        <v>2.04</v>
      </c>
      <c r="G22" s="16">
        <v>5.45</v>
      </c>
      <c r="H22" s="15">
        <f>$H$2*G22/$G$2</f>
        <v>2.04</v>
      </c>
      <c r="I22" s="15">
        <f>$I$2*G22/$G$2</f>
        <v>1.36</v>
      </c>
      <c r="J22" s="15">
        <f>SUM(E22:I22)</f>
        <v>13.61</v>
      </c>
      <c r="K22" s="15">
        <v>3</v>
      </c>
      <c r="L22" s="14"/>
    </row>
    <row r="23" customHeight="1" spans="1:12">
      <c r="A23" s="11">
        <f>ROW()-2</f>
        <v>21</v>
      </c>
      <c r="B23" s="17"/>
      <c r="C23" s="13" t="s">
        <v>76</v>
      </c>
      <c r="D23" s="14" t="s">
        <v>77</v>
      </c>
      <c r="E23" s="15">
        <f>$E$2*G23/$G$2</f>
        <v>5.46</v>
      </c>
      <c r="F23" s="15">
        <f>$F$2*G23/$G$2</f>
        <v>4.09</v>
      </c>
      <c r="G23" s="16">
        <v>10.91</v>
      </c>
      <c r="H23" s="15">
        <f>$H$2*G23/$G$2</f>
        <v>4.09</v>
      </c>
      <c r="I23" s="15">
        <f>$I$2*G23/$G$2</f>
        <v>2.73</v>
      </c>
      <c r="J23" s="15">
        <f>SUM(E23:I23)</f>
        <v>27.28</v>
      </c>
      <c r="K23" s="15">
        <v>6</v>
      </c>
      <c r="L23" s="14"/>
    </row>
    <row r="24" customHeight="1" spans="1:12">
      <c r="A24" s="11">
        <f>ROW()-2</f>
        <v>22</v>
      </c>
      <c r="B24" s="17"/>
      <c r="C24" s="13" t="s">
        <v>78</v>
      </c>
      <c r="D24" s="14" t="s">
        <v>79</v>
      </c>
      <c r="E24" s="15">
        <f>$E$2*G24/$G$2</f>
        <v>2.72</v>
      </c>
      <c r="F24" s="15">
        <f>$F$2*G24/$G$2</f>
        <v>2.04</v>
      </c>
      <c r="G24" s="16">
        <v>5.45</v>
      </c>
      <c r="H24" s="15">
        <f>$H$2*G24/$G$2</f>
        <v>2.04</v>
      </c>
      <c r="I24" s="15">
        <f>$I$2*G24/$G$2</f>
        <v>1.36</v>
      </c>
      <c r="J24" s="15">
        <f>SUM(E24:I24)</f>
        <v>13.61</v>
      </c>
      <c r="K24" s="15">
        <v>3</v>
      </c>
      <c r="L24" s="14"/>
    </row>
    <row r="25" customHeight="1" spans="1:12">
      <c r="A25" s="11">
        <f>ROW()-2</f>
        <v>23</v>
      </c>
      <c r="B25" s="17"/>
      <c r="C25" s="13" t="s">
        <v>80</v>
      </c>
      <c r="D25" s="14" t="s">
        <v>81</v>
      </c>
      <c r="E25" s="15">
        <f>$E$2*G25/$G$2</f>
        <v>4.54</v>
      </c>
      <c r="F25" s="15">
        <f>$F$2*G25/$G$2</f>
        <v>3.41</v>
      </c>
      <c r="G25" s="16">
        <v>9.09</v>
      </c>
      <c r="H25" s="15">
        <f>$H$2*G25/$G$2</f>
        <v>3.41</v>
      </c>
      <c r="I25" s="15">
        <f>$I$2*G25/$G$2</f>
        <v>2.27</v>
      </c>
      <c r="J25" s="15">
        <f>SUM(E25:I25)</f>
        <v>22.72</v>
      </c>
      <c r="K25" s="15">
        <v>5</v>
      </c>
      <c r="L25" s="14"/>
    </row>
    <row r="26" customHeight="1" spans="1:12">
      <c r="A26" s="11">
        <f>ROW()-2</f>
        <v>24</v>
      </c>
      <c r="B26" s="12" t="s">
        <v>82</v>
      </c>
      <c r="C26" s="13" t="s">
        <v>83</v>
      </c>
      <c r="D26" s="14" t="s">
        <v>84</v>
      </c>
      <c r="E26" s="15">
        <f>$E$2*G26/$G$2</f>
        <v>13.64</v>
      </c>
      <c r="F26" s="15">
        <f>$F$2*G26/$G$2</f>
        <v>10.23</v>
      </c>
      <c r="G26" s="16">
        <v>27.27</v>
      </c>
      <c r="H26" s="15">
        <f>$H$2*G26/$G$2</f>
        <v>10.23</v>
      </c>
      <c r="I26" s="15">
        <f>$I$2*G26/$G$2</f>
        <v>6.82</v>
      </c>
      <c r="J26" s="15">
        <f>SUM(E26:I26)</f>
        <v>68.19</v>
      </c>
      <c r="K26" s="15">
        <v>15</v>
      </c>
      <c r="L26" s="14"/>
    </row>
    <row r="27" customHeight="1" spans="1:12">
      <c r="A27" s="11">
        <f>ROW()-2</f>
        <v>25</v>
      </c>
      <c r="B27" s="17"/>
      <c r="C27" s="13" t="s">
        <v>85</v>
      </c>
      <c r="D27" s="14" t="s">
        <v>86</v>
      </c>
      <c r="E27" s="15">
        <f>$E$2*G27/$G$2</f>
        <v>9.09</v>
      </c>
      <c r="F27" s="15">
        <f>$F$2*G27/$G$2</f>
        <v>6.82</v>
      </c>
      <c r="G27" s="16">
        <v>18.18</v>
      </c>
      <c r="H27" s="15">
        <f>$H$2*G27/$G$2</f>
        <v>6.82</v>
      </c>
      <c r="I27" s="15">
        <f>$I$2*G27/$G$2</f>
        <v>4.54</v>
      </c>
      <c r="J27" s="15">
        <f>SUM(E27:I27)</f>
        <v>45.45</v>
      </c>
      <c r="K27" s="15">
        <v>10</v>
      </c>
      <c r="L27" s="14"/>
    </row>
    <row r="28" customHeight="1" spans="1:12">
      <c r="A28" s="11">
        <f>ROW()-2</f>
        <v>26</v>
      </c>
      <c r="B28" s="17"/>
      <c r="C28" s="13" t="s">
        <v>87</v>
      </c>
      <c r="D28" s="14" t="s">
        <v>88</v>
      </c>
      <c r="E28" s="15">
        <f>$E$2*G28/$G$2</f>
        <v>10.91</v>
      </c>
      <c r="F28" s="15">
        <f>$F$2*G28/$G$2</f>
        <v>8.18</v>
      </c>
      <c r="G28" s="16">
        <v>21.82</v>
      </c>
      <c r="H28" s="15">
        <f>$H$2*G28/$G$2</f>
        <v>8.18</v>
      </c>
      <c r="I28" s="15">
        <f>$I$2*G28/$G$2</f>
        <v>5.46</v>
      </c>
      <c r="J28" s="15">
        <f>SUM(E28:I28)</f>
        <v>54.55</v>
      </c>
      <c r="K28" s="15">
        <v>12</v>
      </c>
      <c r="L28" s="14"/>
    </row>
    <row r="29" customHeight="1" spans="1:12">
      <c r="A29" s="11">
        <f>ROW()-2</f>
        <v>27</v>
      </c>
      <c r="B29" s="17"/>
      <c r="C29" s="13" t="s">
        <v>89</v>
      </c>
      <c r="D29" s="14" t="s">
        <v>90</v>
      </c>
      <c r="E29" s="15">
        <f>$E$2*G29/$G$2</f>
        <v>10.91</v>
      </c>
      <c r="F29" s="15">
        <f>$F$2*G29/$G$2</f>
        <v>8.18</v>
      </c>
      <c r="G29" s="16">
        <v>21.82</v>
      </c>
      <c r="H29" s="15">
        <f>$H$2*G29/$G$2</f>
        <v>8.18</v>
      </c>
      <c r="I29" s="15">
        <f>$I$2*G29/$G$2</f>
        <v>5.46</v>
      </c>
      <c r="J29" s="15">
        <f>SUM(E29:I29)</f>
        <v>54.55</v>
      </c>
      <c r="K29" s="15">
        <v>12</v>
      </c>
      <c r="L29" s="14"/>
    </row>
    <row r="30" customHeight="1" spans="1:12">
      <c r="A30" s="11">
        <f>ROW()-2</f>
        <v>28</v>
      </c>
      <c r="B30" s="17"/>
      <c r="C30" s="13" t="s">
        <v>91</v>
      </c>
      <c r="D30" s="14" t="s">
        <v>92</v>
      </c>
      <c r="E30" s="15">
        <f>$E$2*G30/$G$2</f>
        <v>9.09</v>
      </c>
      <c r="F30" s="15">
        <f>$F$2*G30/$G$2</f>
        <v>6.82</v>
      </c>
      <c r="G30" s="16">
        <v>18.18</v>
      </c>
      <c r="H30" s="15">
        <f>$H$2*G30/$G$2</f>
        <v>6.82</v>
      </c>
      <c r="I30" s="15">
        <f>$I$2*G30/$G$2</f>
        <v>4.54</v>
      </c>
      <c r="J30" s="15">
        <f>SUM(E30:I30)</f>
        <v>45.45</v>
      </c>
      <c r="K30" s="15">
        <v>10</v>
      </c>
      <c r="L30" s="14"/>
    </row>
    <row r="31" customHeight="1" spans="1:12">
      <c r="A31" s="11">
        <f>ROW()-2</f>
        <v>29</v>
      </c>
      <c r="B31" s="12" t="s">
        <v>93</v>
      </c>
      <c r="C31" s="13" t="s">
        <v>94</v>
      </c>
      <c r="D31" s="14" t="s">
        <v>95</v>
      </c>
      <c r="E31" s="15">
        <f>$E$2*G31/$G$2</f>
        <v>7.28</v>
      </c>
      <c r="F31" s="15">
        <f>$F$2*G31/$G$2</f>
        <v>5.46</v>
      </c>
      <c r="G31" s="16">
        <v>14.55</v>
      </c>
      <c r="H31" s="15">
        <f>$H$2*G31/$G$2</f>
        <v>5.46</v>
      </c>
      <c r="I31" s="15">
        <f>$I$2*G31/$G$2</f>
        <v>3.64</v>
      </c>
      <c r="J31" s="15">
        <f>SUM(E31:I31)</f>
        <v>36.39</v>
      </c>
      <c r="K31" s="15">
        <v>8</v>
      </c>
      <c r="L31" s="14"/>
    </row>
    <row r="32" customHeight="1" spans="1:12">
      <c r="A32" s="11">
        <f>ROW()-2</f>
        <v>30</v>
      </c>
      <c r="B32" s="17"/>
      <c r="C32" s="13" t="s">
        <v>96</v>
      </c>
      <c r="D32" s="14" t="s">
        <v>97</v>
      </c>
      <c r="E32" s="15">
        <f>$E$2*G32/$G$2</f>
        <v>5.46</v>
      </c>
      <c r="F32" s="15">
        <f>$F$2*G32/$G$2</f>
        <v>4.09</v>
      </c>
      <c r="G32" s="16">
        <v>10.91</v>
      </c>
      <c r="H32" s="15">
        <f>$H$2*G32/$G$2</f>
        <v>4.09</v>
      </c>
      <c r="I32" s="15">
        <f>$I$2*G32/$G$2</f>
        <v>2.73</v>
      </c>
      <c r="J32" s="15">
        <f>SUM(E32:I32)</f>
        <v>27.28</v>
      </c>
      <c r="K32" s="15">
        <v>6</v>
      </c>
      <c r="L32" s="14"/>
    </row>
    <row r="33" customHeight="1" spans="1:12">
      <c r="A33" s="11">
        <f>ROW()-2</f>
        <v>31</v>
      </c>
      <c r="B33" s="17"/>
      <c r="C33" s="13" t="s">
        <v>98</v>
      </c>
      <c r="D33" s="14" t="s">
        <v>99</v>
      </c>
      <c r="E33" s="15">
        <f>$E$2*G33/$G$2</f>
        <v>5.46</v>
      </c>
      <c r="F33" s="15">
        <f>$F$2*G33/$G$2</f>
        <v>4.09</v>
      </c>
      <c r="G33" s="16">
        <v>10.91</v>
      </c>
      <c r="H33" s="15">
        <f>$H$2*G33/$G$2</f>
        <v>4.09</v>
      </c>
      <c r="I33" s="15">
        <f>$I$2*G33/$G$2</f>
        <v>2.73</v>
      </c>
      <c r="J33" s="15">
        <f>SUM(E33:I33)</f>
        <v>27.28</v>
      </c>
      <c r="K33" s="15">
        <v>6</v>
      </c>
      <c r="L33" s="14"/>
    </row>
    <row r="34" customHeight="1" spans="1:12">
      <c r="A34" s="11">
        <f>ROW()-2</f>
        <v>32</v>
      </c>
      <c r="B34" s="17"/>
      <c r="C34" s="13" t="s">
        <v>100</v>
      </c>
      <c r="D34" s="14" t="s">
        <v>101</v>
      </c>
      <c r="E34" s="15">
        <f>$E$2*G34/$G$2</f>
        <v>5.46</v>
      </c>
      <c r="F34" s="15">
        <f>$F$2*G34/$G$2</f>
        <v>4.09</v>
      </c>
      <c r="G34" s="16">
        <v>10.91</v>
      </c>
      <c r="H34" s="15">
        <f>$H$2*G34/$G$2</f>
        <v>4.09</v>
      </c>
      <c r="I34" s="15">
        <f>$I$2*G34/$G$2</f>
        <v>2.73</v>
      </c>
      <c r="J34" s="15">
        <f>SUM(E34:I34)</f>
        <v>27.28</v>
      </c>
      <c r="K34" s="15">
        <v>6</v>
      </c>
      <c r="L34" s="14"/>
    </row>
    <row r="35" customHeight="1" spans="1:12">
      <c r="A35" s="11">
        <f>ROW()-2</f>
        <v>33</v>
      </c>
      <c r="B35" s="12" t="s">
        <v>102</v>
      </c>
      <c r="C35" s="13" t="s">
        <v>103</v>
      </c>
      <c r="D35" s="14" t="s">
        <v>104</v>
      </c>
      <c r="E35" s="15">
        <f>$E$2*G35/$G$2</f>
        <v>3.64</v>
      </c>
      <c r="F35" s="15">
        <f>$F$2*G35/$G$2</f>
        <v>2.73</v>
      </c>
      <c r="G35" s="16">
        <v>7.27</v>
      </c>
      <c r="H35" s="15">
        <f>$H$2*G35/$G$2</f>
        <v>2.73</v>
      </c>
      <c r="I35" s="15">
        <f>$I$2*G35/$G$2</f>
        <v>1.82</v>
      </c>
      <c r="J35" s="15">
        <f>SUM(E35:I35)</f>
        <v>18.19</v>
      </c>
      <c r="K35" s="15">
        <v>4</v>
      </c>
      <c r="L35" s="14"/>
    </row>
    <row r="36" customHeight="1" spans="1:12">
      <c r="A36" s="11">
        <f>ROW()-2</f>
        <v>34</v>
      </c>
      <c r="B36" s="17"/>
      <c r="C36" s="13" t="s">
        <v>105</v>
      </c>
      <c r="D36" s="14" t="s">
        <v>106</v>
      </c>
      <c r="E36" s="15">
        <f>$E$2*G36/$G$2</f>
        <v>3.64</v>
      </c>
      <c r="F36" s="15">
        <f>$F$2*G36/$G$2</f>
        <v>2.73</v>
      </c>
      <c r="G36" s="16">
        <v>7.27</v>
      </c>
      <c r="H36" s="15">
        <f>$H$2*G36/$G$2</f>
        <v>2.73</v>
      </c>
      <c r="I36" s="15">
        <f>$I$2*G36/$G$2</f>
        <v>1.82</v>
      </c>
      <c r="J36" s="15">
        <f>SUM(E36:I36)</f>
        <v>18.19</v>
      </c>
      <c r="K36" s="15">
        <v>4</v>
      </c>
      <c r="L36" s="14"/>
    </row>
    <row r="37" customHeight="1" spans="1:12">
      <c r="A37" s="11">
        <f>ROW()-2</f>
        <v>35</v>
      </c>
      <c r="B37" s="17"/>
      <c r="C37" s="13" t="s">
        <v>107</v>
      </c>
      <c r="D37" s="14" t="s">
        <v>108</v>
      </c>
      <c r="E37" s="15">
        <f>$E$2*G37/$G$2</f>
        <v>4.54</v>
      </c>
      <c r="F37" s="15">
        <f>$F$2*G37/$G$2</f>
        <v>3.41</v>
      </c>
      <c r="G37" s="16">
        <v>9.09</v>
      </c>
      <c r="H37" s="15">
        <f>$H$2*G37/$G$2</f>
        <v>3.41</v>
      </c>
      <c r="I37" s="15">
        <f>$I$2*G37/$G$2</f>
        <v>2.27</v>
      </c>
      <c r="J37" s="15">
        <f>SUM(E37:I37)</f>
        <v>22.72</v>
      </c>
      <c r="K37" s="15">
        <v>5</v>
      </c>
      <c r="L37" s="14"/>
    </row>
    <row r="38" customHeight="1" spans="1:12">
      <c r="A38" s="11">
        <f>ROW()-2</f>
        <v>36</v>
      </c>
      <c r="B38" s="17"/>
      <c r="C38" s="13" t="s">
        <v>109</v>
      </c>
      <c r="D38" s="14" t="s">
        <v>110</v>
      </c>
      <c r="E38" s="15">
        <f>$E$2*G38/$G$2</f>
        <v>3.64</v>
      </c>
      <c r="F38" s="15">
        <f>$F$2*G38/$G$2</f>
        <v>2.73</v>
      </c>
      <c r="G38" s="16">
        <v>7.27</v>
      </c>
      <c r="H38" s="15">
        <f>$H$2*G38/$G$2</f>
        <v>2.73</v>
      </c>
      <c r="I38" s="15">
        <f>$I$2*G38/$G$2</f>
        <v>1.82</v>
      </c>
      <c r="J38" s="15">
        <f>SUM(E38:I38)</f>
        <v>18.19</v>
      </c>
      <c r="K38" s="15">
        <v>4</v>
      </c>
      <c r="L38" s="14"/>
    </row>
    <row r="39" customHeight="1" spans="1:12">
      <c r="A39" s="11">
        <f>ROW()-2</f>
        <v>37</v>
      </c>
      <c r="B39" s="17"/>
      <c r="C39" s="13" t="s">
        <v>111</v>
      </c>
      <c r="D39" s="14" t="s">
        <v>112</v>
      </c>
      <c r="E39" s="15">
        <f>$E$2*G39/$G$2</f>
        <v>5.46</v>
      </c>
      <c r="F39" s="15">
        <f>$F$2*G39/$G$2</f>
        <v>4.09</v>
      </c>
      <c r="G39" s="16">
        <v>10.91</v>
      </c>
      <c r="H39" s="15">
        <f>$H$2*G39/$G$2</f>
        <v>4.09</v>
      </c>
      <c r="I39" s="15">
        <f>$I$2*G39/$G$2</f>
        <v>2.73</v>
      </c>
      <c r="J39" s="15">
        <f>SUM(E39:I39)</f>
        <v>27.28</v>
      </c>
      <c r="K39" s="15">
        <v>6</v>
      </c>
      <c r="L39" s="14"/>
    </row>
    <row r="40" customHeight="1" spans="1:12">
      <c r="A40" s="11">
        <f>ROW()-2</f>
        <v>38</v>
      </c>
      <c r="B40" s="17"/>
      <c r="C40" s="13" t="s">
        <v>113</v>
      </c>
      <c r="D40" s="14" t="s">
        <v>114</v>
      </c>
      <c r="E40" s="15">
        <f>$E$2*G40/$G$2</f>
        <v>4.54</v>
      </c>
      <c r="F40" s="15">
        <f>$F$2*G40/$G$2</f>
        <v>3.41</v>
      </c>
      <c r="G40" s="16">
        <v>9.09</v>
      </c>
      <c r="H40" s="15">
        <f>$H$2*G40/$G$2</f>
        <v>3.41</v>
      </c>
      <c r="I40" s="15">
        <f>$I$2*G40/$G$2</f>
        <v>2.27</v>
      </c>
      <c r="J40" s="15">
        <f>SUM(E40:I40)</f>
        <v>22.72</v>
      </c>
      <c r="K40" s="15">
        <v>5</v>
      </c>
      <c r="L40" s="14"/>
    </row>
    <row r="41" customHeight="1" spans="1:12">
      <c r="A41" s="11">
        <f>ROW()-2</f>
        <v>39</v>
      </c>
      <c r="B41" s="17"/>
      <c r="C41" s="13" t="s">
        <v>115</v>
      </c>
      <c r="D41" s="14" t="s">
        <v>116</v>
      </c>
      <c r="E41" s="15">
        <f>$E$2*G41/$G$2</f>
        <v>5.46</v>
      </c>
      <c r="F41" s="15">
        <f>$F$2*G41/$G$2</f>
        <v>4.09</v>
      </c>
      <c r="G41" s="16">
        <v>10.91</v>
      </c>
      <c r="H41" s="15">
        <f>$H$2*G41/$G$2</f>
        <v>4.09</v>
      </c>
      <c r="I41" s="15">
        <f>$I$2*G41/$G$2</f>
        <v>2.73</v>
      </c>
      <c r="J41" s="15">
        <f>SUM(E41:I41)</f>
        <v>27.28</v>
      </c>
      <c r="K41" s="15">
        <v>6</v>
      </c>
      <c r="L41" s="14"/>
    </row>
    <row r="42" customHeight="1" spans="1:12">
      <c r="A42" s="11">
        <f>ROW()-2</f>
        <v>40</v>
      </c>
      <c r="B42" s="17"/>
      <c r="C42" s="13" t="s">
        <v>117</v>
      </c>
      <c r="D42" s="14" t="s">
        <v>118</v>
      </c>
      <c r="E42" s="15">
        <f>$E$2*G42/$G$2</f>
        <v>4.54</v>
      </c>
      <c r="F42" s="15">
        <f>$F$2*G42/$G$2</f>
        <v>3.41</v>
      </c>
      <c r="G42" s="16">
        <v>9.09</v>
      </c>
      <c r="H42" s="15">
        <f>$H$2*G42/$G$2</f>
        <v>3.41</v>
      </c>
      <c r="I42" s="15">
        <f>$I$2*G42/$G$2</f>
        <v>2.27</v>
      </c>
      <c r="J42" s="15">
        <f>SUM(E42:I42)</f>
        <v>22.72</v>
      </c>
      <c r="K42" s="15">
        <v>5</v>
      </c>
      <c r="L42" s="14"/>
    </row>
    <row r="43" customHeight="1" spans="1:12">
      <c r="A43" s="11">
        <f>ROW()-2</f>
        <v>41</v>
      </c>
      <c r="B43" s="17"/>
      <c r="C43" s="13" t="s">
        <v>119</v>
      </c>
      <c r="D43" s="14" t="s">
        <v>120</v>
      </c>
      <c r="E43" s="15">
        <f>$E$2*G43/$G$2</f>
        <v>10.91</v>
      </c>
      <c r="F43" s="15">
        <f>$F$2*G43/$G$2</f>
        <v>8.18</v>
      </c>
      <c r="G43" s="16">
        <v>21.82</v>
      </c>
      <c r="H43" s="15">
        <f>$H$2*G43/$G$2</f>
        <v>8.18</v>
      </c>
      <c r="I43" s="15">
        <f>$I$2*G43/$G$2</f>
        <v>5.46</v>
      </c>
      <c r="J43" s="15">
        <f>SUM(E43:I43)</f>
        <v>54.55</v>
      </c>
      <c r="K43" s="15">
        <v>12</v>
      </c>
      <c r="L43" s="14"/>
    </row>
    <row r="44" customHeight="1" spans="1:12">
      <c r="A44" s="11">
        <f>ROW()-2</f>
        <v>42</v>
      </c>
      <c r="B44" s="12" t="s">
        <v>121</v>
      </c>
      <c r="C44" s="13" t="s">
        <v>122</v>
      </c>
      <c r="D44" s="14" t="s">
        <v>123</v>
      </c>
      <c r="E44" s="15">
        <f>$E$2*G44/$G$2</f>
        <v>9.09</v>
      </c>
      <c r="F44" s="15">
        <f>$F$2*G44/$G$2</f>
        <v>6.82</v>
      </c>
      <c r="G44" s="16">
        <v>18.18</v>
      </c>
      <c r="H44" s="15">
        <f>$H$2*G44/$G$2</f>
        <v>6.82</v>
      </c>
      <c r="I44" s="15">
        <f>$I$2*G44/$G$2</f>
        <v>4.54</v>
      </c>
      <c r="J44" s="15">
        <f>SUM(E44:I44)</f>
        <v>45.45</v>
      </c>
      <c r="K44" s="15">
        <v>10</v>
      </c>
      <c r="L44" s="14"/>
    </row>
    <row r="45" customHeight="1" spans="1:12">
      <c r="A45" s="11">
        <f>ROW()-2</f>
        <v>43</v>
      </c>
      <c r="B45" s="32" t="s">
        <v>32</v>
      </c>
      <c r="C45" s="32"/>
      <c r="D45" s="32"/>
      <c r="E45" s="15">
        <f>SUM(E3:E44)</f>
        <v>327.26</v>
      </c>
      <c r="F45" s="15">
        <f>SUM(F3:F44)</f>
        <v>245.45</v>
      </c>
      <c r="G45" s="15">
        <f>SUM(G3:G44)</f>
        <v>654.53</v>
      </c>
      <c r="H45" s="15">
        <f>SUM(H3:H44)</f>
        <v>245.45</v>
      </c>
      <c r="I45" s="15">
        <f>SUM(I3:I44)</f>
        <v>163.63</v>
      </c>
      <c r="J45" s="15">
        <f>SUM(J3:J44)</f>
        <v>1636.32</v>
      </c>
      <c r="K45" s="15">
        <f>SUM(K3:K44)</f>
        <v>360</v>
      </c>
      <c r="L45" s="14"/>
    </row>
    <row r="46" customHeight="1" spans="1:12">
      <c r="A46" s="11">
        <f>ROW()-2</f>
        <v>44</v>
      </c>
      <c r="B46" s="32"/>
      <c r="C46" s="32"/>
      <c r="D46" s="32"/>
      <c r="E46" s="15">
        <f>E45/21.75</f>
        <v>15.04643678</v>
      </c>
      <c r="F46" s="15">
        <f>F45/21.75</f>
        <v>11.28505747</v>
      </c>
      <c r="G46" s="15">
        <f>G45/21.75</f>
        <v>30.09333333</v>
      </c>
      <c r="H46" s="15">
        <f>H45/21.75</f>
        <v>11.28505747</v>
      </c>
      <c r="I46" s="15">
        <f>I45/21.75</f>
        <v>7.52321839</v>
      </c>
      <c r="J46" s="15">
        <f>J45/21.75</f>
        <v>75.23310345</v>
      </c>
      <c r="K46" s="15">
        <f>K45/21.75</f>
        <v>16.55172414</v>
      </c>
      <c r="L46" s="14"/>
    </row>
  </sheetData>
  <mergeCells count="12">
    <mergeCell ref="A1:A2"/>
    <mergeCell ref="B1:B2"/>
    <mergeCell ref="C1:C2"/>
    <mergeCell ref="D1:D2"/>
    <mergeCell ref="L1:L2"/>
    <mergeCell ref="B3:B11"/>
    <mergeCell ref="B12:B16"/>
    <mergeCell ref="B17:B25"/>
    <mergeCell ref="B26:B30"/>
    <mergeCell ref="B31:B34"/>
    <mergeCell ref="B35:B43"/>
    <mergeCell ref="B45:D4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1.总费用</vt:lpstr>
      <vt:lpstr>2.工作量估算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P640615</cp:lastModifiedBy>
  <dcterms:created xsi:type="dcterms:W3CDTF">2006-09-16T00:00:00Z</dcterms:created>
  <dcterms:modified xsi:type="dcterms:W3CDTF">2026-10-09T08:44:15Z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F669C6A37A8D45A99AEC296818FBF092</vt:lpwstr>
  </property>
  <property fmtid="{D5CDD505-2E9C-101B-9397-08002B2CF9AE}" pid="3" name="KSOProductBuildVer">
    <vt:lpwstr>2052-12.8.2.21555</vt:lpwstr>
  </property>
</Properties>
</file>